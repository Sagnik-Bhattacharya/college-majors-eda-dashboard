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F:\Data Analyst Job Module\Projects\college-majors-analysis\excel\"/>
    </mc:Choice>
  </mc:AlternateContent>
  <xr:revisionPtr revIDLastSave="0" documentId="13_ncr:1_{94908C7A-7F0E-4E53-8FF1-D3760DE14466}" xr6:coauthVersionLast="47" xr6:coauthVersionMax="47" xr10:uidLastSave="{00000000-0000-0000-0000-000000000000}"/>
  <bookViews>
    <workbookView xWindow="-108" yWindow="-108" windowWidth="23256" windowHeight="12456" activeTab="2" xr2:uid="{D22F3B40-C2E7-4A2A-A494-EE9CC8F32C2F}"/>
  </bookViews>
  <sheets>
    <sheet name="college_majors_merged" sheetId="2" r:id="rId1"/>
    <sheet name="Pivot_Tables" sheetId="1" r:id="rId2"/>
    <sheet name="Dashboard" sheetId="3" r:id="rId3"/>
  </sheets>
  <definedNames>
    <definedName name="ExternalData_1" localSheetId="0" hidden="1">'college_majors_merged'!$A$1:$Y$174</definedName>
    <definedName name="Slicer_employment_rate">#N/A</definedName>
    <definedName name="Slicer_full_time_share">#N/A</definedName>
    <definedName name="Slicer_Low_wage_jobs">#N/A</definedName>
    <definedName name="Slicer_Major">#N/A</definedName>
    <definedName name="Slicer_Major_category">#N/A</definedName>
    <definedName name="Slicer_Median">#N/A</definedName>
    <definedName name="Slicer_salary_premium">#N/A</definedName>
    <definedName name="Slicer_salary_spread">#N/A</definedName>
    <definedName name="Slicer_ShareWomen">#N/A</definedName>
    <definedName name="Slicer_Unemployment_r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14" i="1" l="1"/>
  <c r="E214" i="1"/>
  <c r="D215" i="1"/>
  <c r="E215" i="1"/>
  <c r="D216" i="1"/>
  <c r="E216" i="1"/>
  <c r="D217" i="1"/>
  <c r="E217" i="1"/>
  <c r="D218" i="1"/>
  <c r="E218" i="1"/>
  <c r="D219" i="1"/>
  <c r="E219" i="1"/>
  <c r="D220" i="1"/>
  <c r="E220" i="1"/>
  <c r="D221" i="1"/>
  <c r="E221" i="1"/>
  <c r="D222" i="1"/>
  <c r="E222" i="1"/>
  <c r="D223" i="1"/>
  <c r="E223" i="1"/>
  <c r="D224" i="1"/>
  <c r="E224" i="1"/>
  <c r="D225" i="1"/>
  <c r="E225" i="1"/>
  <c r="D226" i="1"/>
  <c r="E226" i="1"/>
  <c r="D227" i="1"/>
  <c r="E227" i="1"/>
  <c r="D228" i="1"/>
  <c r="E228" i="1"/>
  <c r="D229" i="1"/>
  <c r="E229" i="1"/>
  <c r="D230" i="1"/>
  <c r="E230" i="1"/>
  <c r="D231" i="1"/>
  <c r="E231" i="1"/>
  <c r="D232" i="1"/>
  <c r="E232" i="1"/>
  <c r="D233" i="1"/>
  <c r="E233" i="1"/>
  <c r="D234" i="1"/>
  <c r="E234" i="1"/>
  <c r="D235" i="1"/>
  <c r="E235" i="1"/>
  <c r="D236" i="1"/>
  <c r="E236" i="1"/>
  <c r="D237" i="1"/>
  <c r="E237" i="1"/>
  <c r="D238" i="1"/>
  <c r="E238" i="1"/>
  <c r="D239" i="1"/>
  <c r="E239" i="1"/>
  <c r="D240" i="1"/>
  <c r="E240" i="1"/>
  <c r="D241" i="1"/>
  <c r="E241" i="1"/>
  <c r="D242" i="1"/>
  <c r="E242" i="1"/>
  <c r="D243" i="1"/>
  <c r="E243" i="1"/>
  <c r="D244" i="1"/>
  <c r="E244" i="1"/>
  <c r="D245" i="1"/>
  <c r="E245" i="1"/>
  <c r="D246" i="1"/>
  <c r="E246" i="1"/>
  <c r="D247" i="1"/>
  <c r="E247" i="1"/>
  <c r="D248" i="1"/>
  <c r="E248" i="1"/>
  <c r="D249" i="1"/>
  <c r="E249" i="1"/>
  <c r="D250" i="1"/>
  <c r="E250" i="1"/>
  <c r="D251" i="1"/>
  <c r="E251" i="1"/>
  <c r="D252" i="1"/>
  <c r="E252" i="1"/>
  <c r="D253" i="1"/>
  <c r="E253" i="1"/>
  <c r="D254" i="1"/>
  <c r="E254" i="1"/>
  <c r="D255" i="1"/>
  <c r="E255" i="1"/>
  <c r="D256" i="1"/>
  <c r="E256" i="1"/>
  <c r="D257" i="1"/>
  <c r="E257" i="1"/>
  <c r="D258" i="1"/>
  <c r="E258" i="1"/>
  <c r="D259" i="1"/>
  <c r="E259" i="1"/>
  <c r="D260" i="1"/>
  <c r="E260" i="1"/>
  <c r="D261" i="1"/>
  <c r="E261" i="1"/>
  <c r="D262" i="1"/>
  <c r="E262" i="1"/>
  <c r="D263" i="1"/>
  <c r="E263" i="1"/>
  <c r="D264" i="1"/>
  <c r="E264" i="1"/>
  <c r="D265" i="1"/>
  <c r="E265" i="1"/>
  <c r="D266" i="1"/>
  <c r="E266" i="1"/>
  <c r="D267" i="1"/>
  <c r="E267" i="1"/>
  <c r="D268" i="1"/>
  <c r="E268" i="1"/>
  <c r="D269" i="1"/>
  <c r="E269" i="1"/>
  <c r="D270" i="1"/>
  <c r="E270" i="1"/>
  <c r="D271" i="1"/>
  <c r="E271" i="1"/>
  <c r="D272" i="1"/>
  <c r="E272" i="1"/>
  <c r="D273" i="1"/>
  <c r="E273" i="1"/>
  <c r="D274" i="1"/>
  <c r="E274" i="1"/>
  <c r="D275" i="1"/>
  <c r="E275" i="1"/>
  <c r="D276" i="1"/>
  <c r="E276" i="1"/>
  <c r="D277" i="1"/>
  <c r="E277" i="1"/>
  <c r="D278" i="1"/>
  <c r="E278" i="1"/>
  <c r="D279" i="1"/>
  <c r="E279" i="1"/>
  <c r="D280" i="1"/>
  <c r="E280" i="1"/>
  <c r="D281" i="1"/>
  <c r="E281" i="1"/>
  <c r="D282" i="1"/>
  <c r="E282" i="1"/>
  <c r="D283" i="1"/>
  <c r="E283" i="1"/>
  <c r="D284" i="1"/>
  <c r="E284" i="1"/>
  <c r="D285" i="1"/>
  <c r="E285" i="1"/>
  <c r="D286" i="1"/>
  <c r="E286" i="1"/>
  <c r="D287" i="1"/>
  <c r="E287" i="1"/>
  <c r="D288" i="1"/>
  <c r="E288" i="1"/>
  <c r="D289" i="1"/>
  <c r="E289" i="1"/>
  <c r="D290" i="1"/>
  <c r="E290" i="1"/>
  <c r="D291" i="1"/>
  <c r="E291" i="1"/>
  <c r="D292" i="1"/>
  <c r="E292" i="1"/>
  <c r="D293" i="1"/>
  <c r="E293" i="1"/>
  <c r="D294" i="1"/>
  <c r="E294" i="1"/>
  <c r="D295" i="1"/>
  <c r="E295" i="1"/>
  <c r="D296" i="1"/>
  <c r="E296" i="1"/>
  <c r="D297" i="1"/>
  <c r="E297" i="1"/>
  <c r="D298" i="1"/>
  <c r="E298" i="1"/>
  <c r="D299" i="1"/>
  <c r="E299" i="1"/>
  <c r="D300" i="1"/>
  <c r="E300" i="1"/>
  <c r="D301" i="1"/>
  <c r="E301" i="1"/>
  <c r="D302" i="1"/>
  <c r="E302" i="1"/>
  <c r="D303" i="1"/>
  <c r="E303" i="1"/>
  <c r="D304" i="1"/>
  <c r="E304" i="1"/>
  <c r="D305" i="1"/>
  <c r="E305" i="1"/>
  <c r="D306" i="1"/>
  <c r="E306" i="1"/>
  <c r="D307" i="1"/>
  <c r="E307" i="1"/>
  <c r="D308" i="1"/>
  <c r="E308" i="1"/>
  <c r="D309" i="1"/>
  <c r="E309" i="1"/>
  <c r="D310" i="1"/>
  <c r="E310" i="1"/>
  <c r="D311" i="1"/>
  <c r="E311" i="1"/>
  <c r="D312" i="1"/>
  <c r="E312" i="1"/>
  <c r="D313" i="1"/>
  <c r="E313" i="1"/>
  <c r="D314" i="1"/>
  <c r="E314" i="1"/>
  <c r="D315" i="1"/>
  <c r="E315" i="1"/>
  <c r="D316" i="1"/>
  <c r="E316" i="1"/>
  <c r="D317" i="1"/>
  <c r="E317" i="1"/>
  <c r="D318" i="1"/>
  <c r="E318" i="1"/>
  <c r="D319" i="1"/>
  <c r="E319" i="1"/>
  <c r="D320" i="1"/>
  <c r="E320" i="1"/>
  <c r="D321" i="1"/>
  <c r="E321" i="1"/>
  <c r="D322" i="1"/>
  <c r="E322" i="1"/>
  <c r="D323" i="1"/>
  <c r="E323" i="1"/>
  <c r="D324" i="1"/>
  <c r="E324" i="1"/>
  <c r="D325" i="1"/>
  <c r="E325" i="1"/>
  <c r="D326" i="1"/>
  <c r="E326" i="1"/>
  <c r="D327" i="1"/>
  <c r="E327" i="1"/>
  <c r="D328" i="1"/>
  <c r="E328" i="1"/>
  <c r="D329" i="1"/>
  <c r="E329" i="1"/>
  <c r="D330" i="1"/>
  <c r="E330" i="1"/>
  <c r="D331" i="1"/>
  <c r="E331" i="1"/>
  <c r="D332" i="1"/>
  <c r="E332" i="1"/>
  <c r="D333" i="1"/>
  <c r="E333" i="1"/>
  <c r="D334" i="1"/>
  <c r="E334" i="1"/>
  <c r="D335" i="1"/>
  <c r="E335" i="1"/>
  <c r="D336" i="1"/>
  <c r="E336" i="1"/>
  <c r="D337" i="1"/>
  <c r="E337" i="1"/>
  <c r="D338" i="1"/>
  <c r="E338" i="1"/>
  <c r="D339" i="1"/>
  <c r="E339" i="1"/>
  <c r="D340" i="1"/>
  <c r="E340" i="1"/>
  <c r="D341" i="1"/>
  <c r="E341" i="1"/>
  <c r="D342" i="1"/>
  <c r="E342" i="1"/>
  <c r="D343" i="1"/>
  <c r="E343" i="1"/>
  <c r="D344" i="1"/>
  <c r="E344" i="1"/>
  <c r="D345" i="1"/>
  <c r="E345" i="1"/>
  <c r="D346" i="1"/>
  <c r="E346" i="1"/>
  <c r="D347" i="1"/>
  <c r="E347" i="1"/>
  <c r="D348" i="1"/>
  <c r="E348" i="1"/>
  <c r="D349" i="1"/>
  <c r="E349" i="1"/>
  <c r="D350" i="1"/>
  <c r="E350" i="1"/>
  <c r="D351" i="1"/>
  <c r="E351" i="1"/>
  <c r="D352" i="1"/>
  <c r="E352" i="1"/>
  <c r="D353" i="1"/>
  <c r="E353" i="1"/>
  <c r="D354" i="1"/>
  <c r="E354" i="1"/>
  <c r="D355" i="1"/>
  <c r="E355" i="1"/>
  <c r="D356" i="1"/>
  <c r="E356" i="1"/>
  <c r="D357" i="1"/>
  <c r="E357" i="1"/>
  <c r="D358" i="1"/>
  <c r="E358" i="1"/>
  <c r="D359" i="1"/>
  <c r="E359" i="1"/>
  <c r="D360" i="1"/>
  <c r="E360" i="1"/>
  <c r="D361" i="1"/>
  <c r="E361" i="1"/>
  <c r="D362" i="1"/>
  <c r="E362" i="1"/>
  <c r="D363" i="1"/>
  <c r="E363" i="1"/>
  <c r="D364" i="1"/>
  <c r="E364" i="1"/>
  <c r="D365" i="1"/>
  <c r="E365" i="1"/>
  <c r="D366" i="1"/>
  <c r="E366" i="1"/>
  <c r="D367" i="1"/>
  <c r="E367" i="1"/>
  <c r="D368" i="1"/>
  <c r="E368" i="1"/>
  <c r="D369" i="1"/>
  <c r="E369" i="1"/>
  <c r="D370" i="1"/>
  <c r="E370" i="1"/>
  <c r="D371" i="1"/>
  <c r="E371" i="1"/>
  <c r="D372" i="1"/>
  <c r="E372" i="1"/>
  <c r="D373" i="1"/>
  <c r="E373" i="1"/>
  <c r="D374" i="1"/>
  <c r="E374" i="1"/>
  <c r="D375" i="1"/>
  <c r="E375" i="1"/>
  <c r="D376" i="1"/>
  <c r="E376" i="1"/>
  <c r="D377" i="1"/>
  <c r="E377" i="1"/>
  <c r="D378" i="1"/>
  <c r="E378" i="1"/>
  <c r="D379" i="1"/>
  <c r="E379" i="1"/>
  <c r="D380" i="1"/>
  <c r="E380" i="1"/>
  <c r="D381" i="1"/>
  <c r="E381" i="1"/>
  <c r="D382" i="1"/>
  <c r="E382" i="1"/>
  <c r="D383" i="1"/>
  <c r="E383" i="1"/>
  <c r="D384" i="1"/>
  <c r="E384" i="1"/>
  <c r="D385" i="1"/>
  <c r="E385" i="1"/>
  <c r="D386" i="1"/>
  <c r="E386" i="1"/>
  <c r="D387" i="1"/>
  <c r="E387" i="1"/>
  <c r="E213" i="1"/>
  <c r="D213" i="1"/>
  <c r="J87" i="1"/>
  <c r="K87" i="1"/>
  <c r="J88" i="1"/>
  <c r="K88" i="1"/>
  <c r="J89" i="1"/>
  <c r="K89" i="1"/>
  <c r="J90" i="1"/>
  <c r="K90" i="1"/>
  <c r="J91" i="1"/>
  <c r="K91" i="1"/>
  <c r="J92" i="1"/>
  <c r="K92" i="1"/>
  <c r="J93" i="1"/>
  <c r="K93" i="1"/>
  <c r="J94" i="1"/>
  <c r="K94" i="1"/>
  <c r="J95" i="1"/>
  <c r="K95" i="1"/>
  <c r="J96" i="1"/>
  <c r="K96" i="1"/>
  <c r="J97" i="1"/>
  <c r="K97" i="1"/>
  <c r="J98" i="1"/>
  <c r="K98" i="1"/>
  <c r="J99" i="1"/>
  <c r="K99" i="1"/>
  <c r="J100" i="1"/>
  <c r="K100" i="1"/>
  <c r="J101" i="1"/>
  <c r="K101" i="1"/>
  <c r="J102" i="1"/>
  <c r="K102" i="1"/>
  <c r="J103" i="1"/>
  <c r="K103" i="1"/>
  <c r="J104" i="1"/>
  <c r="K104" i="1"/>
  <c r="J105" i="1"/>
  <c r="K105" i="1"/>
  <c r="J106" i="1"/>
  <c r="K106" i="1"/>
  <c r="J107" i="1"/>
  <c r="K107" i="1"/>
  <c r="J108" i="1"/>
  <c r="K108" i="1"/>
  <c r="J109" i="1"/>
  <c r="K109" i="1"/>
  <c r="J110" i="1"/>
  <c r="K110" i="1"/>
  <c r="J111" i="1"/>
  <c r="K111" i="1"/>
  <c r="J112" i="1"/>
  <c r="K112" i="1"/>
  <c r="J113" i="1"/>
  <c r="K113" i="1"/>
  <c r="J114" i="1"/>
  <c r="K114" i="1"/>
  <c r="J115" i="1"/>
  <c r="K115" i="1"/>
  <c r="J116" i="1"/>
  <c r="K116" i="1"/>
  <c r="J117" i="1"/>
  <c r="K117" i="1"/>
  <c r="J118" i="1"/>
  <c r="K118" i="1"/>
  <c r="J119" i="1"/>
  <c r="K119" i="1"/>
  <c r="J120" i="1"/>
  <c r="K120" i="1"/>
  <c r="J121" i="1"/>
  <c r="K121" i="1"/>
  <c r="J122" i="1"/>
  <c r="K122" i="1"/>
  <c r="J123" i="1"/>
  <c r="K123" i="1"/>
  <c r="J124" i="1"/>
  <c r="K124" i="1"/>
  <c r="J125" i="1"/>
  <c r="K125" i="1"/>
  <c r="J126" i="1"/>
  <c r="K126" i="1"/>
  <c r="J127" i="1"/>
  <c r="K127" i="1"/>
  <c r="J128" i="1"/>
  <c r="K128" i="1"/>
  <c r="J129" i="1"/>
  <c r="K129" i="1"/>
  <c r="J130" i="1"/>
  <c r="K130" i="1"/>
  <c r="J131" i="1"/>
  <c r="K131" i="1"/>
  <c r="J132" i="1"/>
  <c r="K132" i="1"/>
  <c r="J133" i="1"/>
  <c r="K133" i="1"/>
  <c r="J134" i="1"/>
  <c r="K134" i="1"/>
  <c r="J135" i="1"/>
  <c r="K135" i="1"/>
  <c r="J136" i="1"/>
  <c r="K136" i="1"/>
  <c r="J137" i="1"/>
  <c r="K137" i="1"/>
  <c r="J138" i="1"/>
  <c r="K138" i="1"/>
  <c r="J139" i="1"/>
  <c r="K139" i="1"/>
  <c r="J140" i="1"/>
  <c r="K140" i="1"/>
  <c r="J141" i="1"/>
  <c r="K141" i="1"/>
  <c r="J142" i="1"/>
  <c r="K142" i="1"/>
  <c r="J143" i="1"/>
  <c r="K143" i="1"/>
  <c r="J144" i="1"/>
  <c r="K144" i="1"/>
  <c r="J145" i="1"/>
  <c r="K145" i="1"/>
  <c r="J146" i="1"/>
  <c r="K146" i="1"/>
  <c r="J147" i="1"/>
  <c r="K147" i="1"/>
  <c r="K86" i="1"/>
  <c r="J86" i="1"/>
  <c r="U5" i="3"/>
  <c r="O5" i="3"/>
  <c r="I5" i="3"/>
  <c r="C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457E69-21E1-4BE9-A5B1-265C165D3A5B}" keepAlive="1" name="Query - college_majors_merged" description="Connection to the 'college_majors_merged' query in the workbook." type="5" refreshedVersion="8" background="1" saveData="1">
    <dbPr connection="Provider=Microsoft.Mashup.OleDb.1;Data Source=$Workbook$;Location=college_majors_merged;Extended Properties=&quot;&quot;" command="SELECT * FROM [college_majors_merged]"/>
  </connection>
</connections>
</file>

<file path=xl/sharedStrings.xml><?xml version="1.0" encoding="utf-8"?>
<sst xmlns="http://schemas.openxmlformats.org/spreadsheetml/2006/main" count="2509" uniqueCount="238">
  <si>
    <t>Major_code</t>
  </si>
  <si>
    <t>Major</t>
  </si>
  <si>
    <t>Major_category</t>
  </si>
  <si>
    <t>Total_ws</t>
  </si>
  <si>
    <t>Employed</t>
  </si>
  <si>
    <t>Employed_full_time_year_round</t>
  </si>
  <si>
    <t>Unemployed</t>
  </si>
  <si>
    <t>Unemployment_rate</t>
  </si>
  <si>
    <t>Median</t>
  </si>
  <si>
    <t>P25th</t>
  </si>
  <si>
    <t>P75th</t>
  </si>
  <si>
    <t>employment_rate</t>
  </si>
  <si>
    <t>full_time_share</t>
  </si>
  <si>
    <t>salary_spread</t>
  </si>
  <si>
    <t>ShareWomen</t>
  </si>
  <si>
    <t>College_jobs</t>
  </si>
  <si>
    <t>Non_college_jobs</t>
  </si>
  <si>
    <t>Low_wage_jobs</t>
  </si>
  <si>
    <t>Grad_median</t>
  </si>
  <si>
    <t>Nongrad_median</t>
  </si>
  <si>
    <t>salary_premium</t>
  </si>
  <si>
    <t>Total_ws_men</t>
  </si>
  <si>
    <t>Men</t>
  </si>
  <si>
    <t>Women</t>
  </si>
  <si>
    <t>Major_Category.1</t>
  </si>
  <si>
    <t>GENERAL AGRICULTURE</t>
  </si>
  <si>
    <t>Agriculture &amp; Natural Resources</t>
  </si>
  <si>
    <t>AGRICULTURE PRODUCTION AND MANAGEMENT</t>
  </si>
  <si>
    <t>AGRICULTURAL ECONOMICS</t>
  </si>
  <si>
    <t>ANIMAL SCIENCES</t>
  </si>
  <si>
    <t>FOOD SCIENCE</t>
  </si>
  <si>
    <t>PLANT SCIENCE AND AGRONOMY</t>
  </si>
  <si>
    <t>SOIL SCIENCE</t>
  </si>
  <si>
    <t>MISCELLANEOUS AGRICULTURE</t>
  </si>
  <si>
    <t>ENVIRONMENTAL SCIENCE</t>
  </si>
  <si>
    <t>Biology &amp; Life Science</t>
  </si>
  <si>
    <t>FORESTRY</t>
  </si>
  <si>
    <t>NATURAL RESOURCES MANAGEMENT</t>
  </si>
  <si>
    <t>ARCHITECTURE</t>
  </si>
  <si>
    <t>Engineering</t>
  </si>
  <si>
    <t>AREA ETHNIC AND CIVILIZATION STUDIES</t>
  </si>
  <si>
    <t>Humanities &amp; Liberal Arts</t>
  </si>
  <si>
    <t>COMMUNICATIONS</t>
  </si>
  <si>
    <t>Communications &amp; Journalism</t>
  </si>
  <si>
    <t>JOURNALISM</t>
  </si>
  <si>
    <t>MASS MEDIA</t>
  </si>
  <si>
    <t>ADVERTISING AND PUBLIC RELATIONS</t>
  </si>
  <si>
    <t>COMMUNICATION TECHNOLOGIES</t>
  </si>
  <si>
    <t>Computers &amp; Mathematics</t>
  </si>
  <si>
    <t>COMPUTER AND INFORMATION SYSTEMS</t>
  </si>
  <si>
    <t>COMPUTER PROGRAMMING AND DATA PROCESSING</t>
  </si>
  <si>
    <t>COMPUTER SCIENCE</t>
  </si>
  <si>
    <t>INFORMATION SCIENCES</t>
  </si>
  <si>
    <t>COMPUTER ADMINISTRATION MANAGEMENT AND SECURITY</t>
  </si>
  <si>
    <t>COMPUTER NETWORKING AND TELECOMMUNICATIONS</t>
  </si>
  <si>
    <t>COSMETOLOGY SERVICES AND CULINARY ARTS</t>
  </si>
  <si>
    <t>Industrial Arts &amp; Consumer Services</t>
  </si>
  <si>
    <t>GENERAL EDUCATION</t>
  </si>
  <si>
    <t>Education</t>
  </si>
  <si>
    <t>EDUCATIONAL ADMINISTRATION AND SUPERVISION</t>
  </si>
  <si>
    <t>SCHOOL STUDENT COUNSELING</t>
  </si>
  <si>
    <t>ELEMENTARY EDUCATION</t>
  </si>
  <si>
    <t>MATHEMATICS TEACHER EDUCATION</t>
  </si>
  <si>
    <t>PHYSICAL AND HEALTH EDUCATION TEACHING</t>
  </si>
  <si>
    <t>EARLY CHILDHOOD EDUCATION</t>
  </si>
  <si>
    <t>SCIENCE AND COMPUTER TEACHER EDUCATION</t>
  </si>
  <si>
    <t>SECONDARY TEACHER EDUCATION</t>
  </si>
  <si>
    <t>SPECIAL NEEDS EDUCATION</t>
  </si>
  <si>
    <t>SOCIAL SCIENCE OR HISTORY TEACHER EDUCATION</t>
  </si>
  <si>
    <t>TEACHER EDUCATION: MULTIPLE LEVELS</t>
  </si>
  <si>
    <t>LANGUAGE AND DRAMA EDUCATION</t>
  </si>
  <si>
    <t>ART AND MUSIC EDUCATION</t>
  </si>
  <si>
    <t>MISCELLANEOUS EDUCATION</t>
  </si>
  <si>
    <t>GENERAL ENGINEERING</t>
  </si>
  <si>
    <t>AEROSPACE ENGINEERING</t>
  </si>
  <si>
    <t>BIOLOGICAL ENGINEERING</t>
  </si>
  <si>
    <t>ARCHITECTURAL ENGINEERING</t>
  </si>
  <si>
    <t>BIOMEDICAL ENGINEERING</t>
  </si>
  <si>
    <t>CHEMICAL ENGINEERING</t>
  </si>
  <si>
    <t>CIVIL ENGINEERING</t>
  </si>
  <si>
    <t>COMPUTER ENGINEERING</t>
  </si>
  <si>
    <t>ELECTRICAL ENGINEERING</t>
  </si>
  <si>
    <t>ENGINEERING MECHANICS PHYSICS AND SCIENCE</t>
  </si>
  <si>
    <t>ENVIRONMENTAL ENGINEERING</t>
  </si>
  <si>
    <t>GEOLOGICAL AND GEOPHYSICAL ENGINEERING</t>
  </si>
  <si>
    <t>INDUSTRIAL AND MANUFACTURING ENGINEERING</t>
  </si>
  <si>
    <t>MATERIALS ENGINEERING AND MATERIALS SCIENCE</t>
  </si>
  <si>
    <t>MECHANICAL ENGINEERING</t>
  </si>
  <si>
    <t>METALLURGICAL ENGINEERING</t>
  </si>
  <si>
    <t>MINING AND MINERAL ENGINEERING</t>
  </si>
  <si>
    <t>NAVAL ARCHITECTURE AND MARINE ENGINEERING</t>
  </si>
  <si>
    <t>NUCLEAR ENGINEERING</t>
  </si>
  <si>
    <t>PETROLEUM ENGINEERING</t>
  </si>
  <si>
    <t>MISCELLANEOUS ENGINEERING</t>
  </si>
  <si>
    <t>ENGINEERING TECHNOLOGIES</t>
  </si>
  <si>
    <t>ENGINEERING AND INDUSTRIAL MANAGEMENT</t>
  </si>
  <si>
    <t>ELECTRICAL ENGINEERING TECHNOLOGY</t>
  </si>
  <si>
    <t>INDUSTRIAL PRODUCTION TECHNOLOGIES</t>
  </si>
  <si>
    <t>MECHANICAL ENGINEERING RELATED TECHNOLOGIES</t>
  </si>
  <si>
    <t>MISCELLANEOUS ENGINEERING TECHNOLOGIES</t>
  </si>
  <si>
    <t>LINGUISTICS AND COMPARATIVE LANGUAGE AND LITERATURE</t>
  </si>
  <si>
    <t>FRENCH GERMAN LATIN AND OTHER COMMON FOREIGN LANGUAGE STUDIES</t>
  </si>
  <si>
    <t>OTHER FOREIGN LANGUAGES</t>
  </si>
  <si>
    <t>FAMILY AND CONSUMER SCIENCES</t>
  </si>
  <si>
    <t>COURT REPORTING</t>
  </si>
  <si>
    <t>Law &amp; Public Policy</t>
  </si>
  <si>
    <t>PRE-LAW AND LEGAL STUDIES</t>
  </si>
  <si>
    <t>ENGLISH LANGUAGE AND LITERATURE</t>
  </si>
  <si>
    <t>COMPOSITION AND RHETORIC</t>
  </si>
  <si>
    <t>LIBERAL ARTS</t>
  </si>
  <si>
    <t>HUMANITIES</t>
  </si>
  <si>
    <t>LIBRARY SCIENCE</t>
  </si>
  <si>
    <t>BIOLOGY</t>
  </si>
  <si>
    <t>BIOCHEMICAL SCIENCES</t>
  </si>
  <si>
    <t>BOTANY</t>
  </si>
  <si>
    <t>MOLECULAR BIOLOGY</t>
  </si>
  <si>
    <t>ECOLOGY</t>
  </si>
  <si>
    <t>GENETICS</t>
  </si>
  <si>
    <t>MICROBIOLOGY</t>
  </si>
  <si>
    <t>PHARMACOLOGY</t>
  </si>
  <si>
    <t>PHYSIOLOGY</t>
  </si>
  <si>
    <t>ZOOLOGY</t>
  </si>
  <si>
    <t>NEUROSCIENCE</t>
  </si>
  <si>
    <t>MISCELLANEOUS BIOLOGY</t>
  </si>
  <si>
    <t>MATHEMATICS</t>
  </si>
  <si>
    <t>APPLIED MATHEMATICS</t>
  </si>
  <si>
    <t>STATISTICS AND DECISION SCIENCE</t>
  </si>
  <si>
    <t>MILITARY TECHNOLOGIES</t>
  </si>
  <si>
    <t>MULTI/INTERDISCIPLINARY STUDIES</t>
  </si>
  <si>
    <t>Interdisciplinary</t>
  </si>
  <si>
    <t>INTERCULTURAL AND INTERNATIONAL STUDIES</t>
  </si>
  <si>
    <t>NUTRITION SCIENCES</t>
  </si>
  <si>
    <t>Health</t>
  </si>
  <si>
    <t>MATHEMATICS AND COMPUTER SCIENCE</t>
  </si>
  <si>
    <t>COGNITIVE SCIENCE AND BIOPSYCHOLOGY</t>
  </si>
  <si>
    <t>INTERDISCIPLINARY SOCIAL SCIENCES</t>
  </si>
  <si>
    <t>Social Science</t>
  </si>
  <si>
    <t>PHYSICAL FITNESS PARKS RECREATION AND LEISURE</t>
  </si>
  <si>
    <t>PHILOSOPHY AND RELIGIOUS STUDIES</t>
  </si>
  <si>
    <t>THEOLOGY AND RELIGIOUS VOCATIONS</t>
  </si>
  <si>
    <t>PHYSICAL SCIENCES</t>
  </si>
  <si>
    <t>Physical Sciences</t>
  </si>
  <si>
    <t>ASTRONOMY AND ASTROPHYSICS</t>
  </si>
  <si>
    <t>ATMOSPHERIC SCIENCES AND METEOROLOGY</t>
  </si>
  <si>
    <t>CHEMISTRY</t>
  </si>
  <si>
    <t>GEOLOGY AND EARTH SCIENCE</t>
  </si>
  <si>
    <t>GEOSCIENCES</t>
  </si>
  <si>
    <t>OCEANOGRAPHY</t>
  </si>
  <si>
    <t>PHYSICS</t>
  </si>
  <si>
    <t>MATERIALS SCIENCE</t>
  </si>
  <si>
    <t>MULTI-DISCIPLINARY OR GENERAL SCIENCE</t>
  </si>
  <si>
    <t>NUCLEAR, INDUSTRIAL RADIOLOGY, AND BIOLOGICAL TECHNOLOGIES</t>
  </si>
  <si>
    <t>PSYCHOLOGY</t>
  </si>
  <si>
    <t>Psychology &amp; Social Work</t>
  </si>
  <si>
    <t>EDUCATIONAL PSYCHOLOGY</t>
  </si>
  <si>
    <t>CLINICAL PSYCHOLOGY</t>
  </si>
  <si>
    <t>COUNSELING PSYCHOLOGY</t>
  </si>
  <si>
    <t>INDUSTRIAL AND ORGANIZATIONAL PSYCHOLOGY</t>
  </si>
  <si>
    <t>SOCIAL PSYCHOLOGY</t>
  </si>
  <si>
    <t>MISCELLANEOUS PSYCHOLOGY</t>
  </si>
  <si>
    <t>CRIMINAL JUSTICE AND FIRE PROTECTION</t>
  </si>
  <si>
    <t>PUBLIC ADMINISTRATION</t>
  </si>
  <si>
    <t>PUBLIC POLICY</t>
  </si>
  <si>
    <t>HUMAN SERVICES AND COMMUNITY ORGANIZATION</t>
  </si>
  <si>
    <t>SOCIAL WORK</t>
  </si>
  <si>
    <t>GENERAL SOCIAL SCIENCES</t>
  </si>
  <si>
    <t>ECONOMICS</t>
  </si>
  <si>
    <t>ANTHROPOLOGY AND ARCHEOLOGY</t>
  </si>
  <si>
    <t>CRIMINOLOGY</t>
  </si>
  <si>
    <t>GEOGRAPHY</t>
  </si>
  <si>
    <t>INTERNATIONAL RELATIONS</t>
  </si>
  <si>
    <t>POLITICAL SCIENCE AND GOVERNMENT</t>
  </si>
  <si>
    <t>SOCIOLOGY</t>
  </si>
  <si>
    <t>MISCELLANEOUS SOCIAL SCIENCES</t>
  </si>
  <si>
    <t>CONSTRUCTION SERVICES</t>
  </si>
  <si>
    <t>ELECTRICAL, MECHANICAL, AND PRECISION TECHNOLOGIES AND PRODUCTION</t>
  </si>
  <si>
    <t>TRANSPORTATION SCIENCES AND TECHNOLOGIES</t>
  </si>
  <si>
    <t>FINE ARTS</t>
  </si>
  <si>
    <t>Arts</t>
  </si>
  <si>
    <t>DRAMA AND THEATER ARTS</t>
  </si>
  <si>
    <t>MUSIC</t>
  </si>
  <si>
    <t>VISUAL AND PERFORMING ARTS</t>
  </si>
  <si>
    <t>COMMERCIAL ART AND GRAPHIC DESIGN</t>
  </si>
  <si>
    <t>FILM VIDEO AND PHOTOGRAPHIC ARTS</t>
  </si>
  <si>
    <t>ART HISTORY AND CRITICISM</t>
  </si>
  <si>
    <t>STUDIO ARTS</t>
  </si>
  <si>
    <t>MISCELLANEOUS FINE ARTS</t>
  </si>
  <si>
    <t>GENERAL MEDICAL AND HEALTH SERVICES</t>
  </si>
  <si>
    <t>COMMUNICATION DISORDERS SCIENCES AND SERVICES</t>
  </si>
  <si>
    <t>HEALTH AND MEDICAL ADMINISTRATIVE SERVICES</t>
  </si>
  <si>
    <t>MEDICAL ASSISTING SERVICES</t>
  </si>
  <si>
    <t>MEDICAL TECHNOLOGIES TECHNICIANS</t>
  </si>
  <si>
    <t>HEALTH AND MEDICAL PREPARATORY PROGRAMS</t>
  </si>
  <si>
    <t>NURSING</t>
  </si>
  <si>
    <t>PHARMACY PHARMACEUTICAL SCIENCES AND ADMINISTRATION</t>
  </si>
  <si>
    <t>TREATMENT THERAPY PROFESSIONS</t>
  </si>
  <si>
    <t>COMMUNITY AND PUBLIC HEALTH</t>
  </si>
  <si>
    <t>MISCELLANEOUS HEALTH MEDICAL PROFESSIONS</t>
  </si>
  <si>
    <t>GENERAL BUSINESS</t>
  </si>
  <si>
    <t>Business</t>
  </si>
  <si>
    <t>ACCOUNTING</t>
  </si>
  <si>
    <t>ACTUARIAL SCIENCE</t>
  </si>
  <si>
    <t>BUSINESS MANAGEMENT AND ADMINISTRATION</t>
  </si>
  <si>
    <t>OPERATIONS LOGISTICS AND E-COMMERCE</t>
  </si>
  <si>
    <t>BUSINESS ECONOMICS</t>
  </si>
  <si>
    <t>MARKETING AND MARKETING RESEARCH</t>
  </si>
  <si>
    <t>FINANCE</t>
  </si>
  <si>
    <t>HUMAN RESOURCES AND PERSONNEL MANAGEMENT</t>
  </si>
  <si>
    <t>INTERNATIONAL BUSINESS</t>
  </si>
  <si>
    <t>HOSPITALITY MANAGEMENT</t>
  </si>
  <si>
    <t>MANAGEMENT INFORMATION SYSTEMS AND STATISTICS</t>
  </si>
  <si>
    <t>MISCELLANEOUS BUSINESS &amp; MEDICAL ADMINISTRATION</t>
  </si>
  <si>
    <t>HISTORY</t>
  </si>
  <si>
    <t>UNITED STATES HISTORY</t>
  </si>
  <si>
    <t>Row Labels</t>
  </si>
  <si>
    <t>Grand Total</t>
  </si>
  <si>
    <t>Average of Median</t>
  </si>
  <si>
    <t>Average of Unemployment_rate</t>
  </si>
  <si>
    <t>Average of salary_premium</t>
  </si>
  <si>
    <t>Average of full_time_share</t>
  </si>
  <si>
    <t>Average of employment_rate</t>
  </si>
  <si>
    <t>Average of ShareWomen</t>
  </si>
  <si>
    <t>Column Labels</t>
  </si>
  <si>
    <t>Total Average of ShareWomen</t>
  </si>
  <si>
    <t>Total Average of Median</t>
  </si>
  <si>
    <t>Total Average of Unemployment_rate</t>
  </si>
  <si>
    <t>Total Average of salary_premium</t>
  </si>
  <si>
    <t>Total Average of employment_rate</t>
  </si>
  <si>
    <t>Total Average of full_time_share</t>
  </si>
  <si>
    <t>Average of salary_spread</t>
  </si>
  <si>
    <t>Total Average of salary_spread</t>
  </si>
  <si>
    <t>(All)</t>
  </si>
  <si>
    <t>COLLEGE MAJORS ANALYSIS DASHBOARD</t>
  </si>
  <si>
    <t>Avg Median</t>
  </si>
  <si>
    <t>Avg Unemp Rate</t>
  </si>
  <si>
    <t>Avg Salary Premium</t>
  </si>
  <si>
    <t>% FT Jobs</t>
  </si>
  <si>
    <t>Average of Nongrad_median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</si>
</sst>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22"/>
      <color theme="1"/>
      <name val="Arial Black"/>
      <family val="2"/>
    </font>
    <font>
      <sz val="9"/>
      <color theme="1"/>
      <name val="Arial Black"/>
      <family val="2"/>
    </font>
    <font>
      <sz val="9"/>
      <color theme="1"/>
      <name val="Calibri"/>
      <family val="2"/>
      <scheme val="minor"/>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2" fontId="0" fillId="0" borderId="1" xfId="0" applyNumberFormat="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10" fontId="0" fillId="0" borderId="1" xfId="0" applyNumberFormat="1" applyBorder="1" applyAlignment="1">
      <alignment horizontal="center"/>
    </xf>
    <xf numFmtId="0" fontId="0" fillId="0" borderId="1" xfId="0" applyBorder="1" applyAlignment="1">
      <alignment horizontal="center"/>
    </xf>
    <xf numFmtId="0" fontId="1" fillId="2" borderId="0" xfId="0" applyFont="1" applyFill="1" applyAlignment="1">
      <alignment horizontal="center" vertical="center"/>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theme" Target="theme/theme1.xml"/><Relationship Id="rId10" Type="http://schemas.microsoft.com/office/2007/relationships/slicerCache" Target="slicerCaches/slicerCache6.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[US_College_Majors_Economic_Outcomes_Dashboard.xlsx.xlsx]Pivot_Tables!PivotTable1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Arial Black" panose="020B0A04020102020204" pitchFamily="34" charset="0"/>
              </a:rPr>
              <a:t>Salary by Category</a:t>
            </a:r>
            <a:endParaRPr lang="en-US"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Pivot_Tables!$A$2:$A$18</c:f>
              <c:strCache>
                <c:ptCount val="16"/>
                <c:pt idx="0">
                  <c:v>Agriculture &amp; Natural Resources</c:v>
                </c:pt>
                <c:pt idx="1">
                  <c:v>Arts</c:v>
                </c:pt>
                <c:pt idx="2">
                  <c:v>Biology &amp; Life Science</c:v>
                </c:pt>
                <c:pt idx="3">
                  <c:v>Business</c:v>
                </c:pt>
                <c:pt idx="4">
                  <c:v>Communications &amp; Journalism</c:v>
                </c:pt>
                <c:pt idx="5">
                  <c:v>Computers &amp; Mathematics</c:v>
                </c:pt>
                <c:pt idx="6">
                  <c:v>Education</c:v>
                </c:pt>
                <c:pt idx="7">
                  <c:v>Engineering</c:v>
                </c:pt>
                <c:pt idx="8">
                  <c:v>Health</c:v>
                </c:pt>
                <c:pt idx="9">
                  <c:v>Humanities &amp; Liberal Arts</c:v>
                </c:pt>
                <c:pt idx="10">
                  <c:v>Industrial Arts &amp; Consumer Services</c:v>
                </c:pt>
                <c:pt idx="11">
                  <c:v>Interdisciplinary</c:v>
                </c:pt>
                <c:pt idx="12">
                  <c:v>Law &amp; Public Policy</c:v>
                </c:pt>
                <c:pt idx="13">
                  <c:v>Physical Sciences</c:v>
                </c:pt>
                <c:pt idx="14">
                  <c:v>Psychology &amp; Social Work</c:v>
                </c:pt>
                <c:pt idx="15">
                  <c:v>Social Science</c:v>
                </c:pt>
              </c:strCache>
            </c:strRef>
          </c:cat>
          <c:val>
            <c:numRef>
              <c:f>Pivot_Tables!$B$2:$B$18</c:f>
              <c:numCache>
                <c:formatCode>General</c:formatCode>
                <c:ptCount val="16"/>
                <c:pt idx="0">
                  <c:v>55000</c:v>
                </c:pt>
                <c:pt idx="1">
                  <c:v>43525</c:v>
                </c:pt>
                <c:pt idx="2">
                  <c:v>50821.428571428572</c:v>
                </c:pt>
                <c:pt idx="3">
                  <c:v>60615.384615384617</c:v>
                </c:pt>
                <c:pt idx="4">
                  <c:v>49500</c:v>
                </c:pt>
                <c:pt idx="5">
                  <c:v>66272.727272727279</c:v>
                </c:pt>
                <c:pt idx="6">
                  <c:v>43831.25</c:v>
                </c:pt>
                <c:pt idx="7">
                  <c:v>77758.620689655174</c:v>
                </c:pt>
                <c:pt idx="8">
                  <c:v>56458.333333333336</c:v>
                </c:pt>
                <c:pt idx="9">
                  <c:v>46080</c:v>
                </c:pt>
                <c:pt idx="10">
                  <c:v>52642.857142857145</c:v>
                </c:pt>
                <c:pt idx="11">
                  <c:v>43000</c:v>
                </c:pt>
                <c:pt idx="12">
                  <c:v>52800</c:v>
                </c:pt>
                <c:pt idx="13">
                  <c:v>62400</c:v>
                </c:pt>
                <c:pt idx="14">
                  <c:v>44555.555555555555</c:v>
                </c:pt>
                <c:pt idx="15">
                  <c:v>53222.222222222219</c:v>
                </c:pt>
              </c:numCache>
            </c:numRef>
          </c:val>
          <c:extLst>
            <c:ext xmlns:c16="http://schemas.microsoft.com/office/drawing/2014/chart" uri="{C3380CC4-5D6E-409C-BE32-E72D297353CC}">
              <c16:uniqueId val="{00000000-F76E-4C81-AB1F-8AA4DA29B1C4}"/>
            </c:ext>
          </c:extLst>
        </c:ser>
        <c:dLbls>
          <c:showLegendKey val="0"/>
          <c:showVal val="0"/>
          <c:showCatName val="0"/>
          <c:showSerName val="0"/>
          <c:showPercent val="0"/>
          <c:showBubbleSize val="0"/>
        </c:dLbls>
        <c:gapWidth val="182"/>
        <c:axId val="1183328608"/>
        <c:axId val="1568926480"/>
      </c:barChart>
      <c:catAx>
        <c:axId val="11833286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Major_category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926480"/>
        <c:crosses val="autoZero"/>
        <c:auto val="1"/>
        <c:lblAlgn val="ctr"/>
        <c:lblOffset val="100"/>
        <c:noMultiLvlLbl val="0"/>
      </c:catAx>
      <c:valAx>
        <c:axId val="1568926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Avg Median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32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[US_College_Majors_Economic_Outcomes_Dashboard.xlsx.xlsx]Pivot_Tables!PivotTable2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Arial Black" panose="020B0A04020102020204" pitchFamily="34" charset="0"/>
              </a:rPr>
              <a:t>Unemployment by Category</a:t>
            </a:r>
            <a:endParaRPr lang="en-US" sz="1400" b="1" i="0" u="none" strike="noStrike" kern="1200" spc="0" baseline="0">
              <a:solidFill>
                <a:sysClr val="windowText" lastClr="000000">
                  <a:lumMod val="65000"/>
                  <a:lumOff val="35000"/>
                </a:sys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c:f>
              <c:strCache>
                <c:ptCount val="1"/>
                <c:pt idx="0">
                  <c:v>Total</c:v>
                </c:pt>
              </c:strCache>
            </c:strRef>
          </c:tx>
          <c:spPr>
            <a:solidFill>
              <a:schemeClr val="accent1"/>
            </a:solidFill>
            <a:ln>
              <a:noFill/>
            </a:ln>
            <a:effectLst/>
          </c:spPr>
          <c:invertIfNegative val="0"/>
          <c:cat>
            <c:strRef>
              <c:f>Pivot_Tables!$D$2:$D$18</c:f>
              <c:strCache>
                <c:ptCount val="16"/>
                <c:pt idx="0">
                  <c:v>Agriculture &amp; Natural Resources</c:v>
                </c:pt>
                <c:pt idx="1">
                  <c:v>Arts</c:v>
                </c:pt>
                <c:pt idx="2">
                  <c:v>Biology &amp; Life Science</c:v>
                </c:pt>
                <c:pt idx="3">
                  <c:v>Business</c:v>
                </c:pt>
                <c:pt idx="4">
                  <c:v>Communications &amp; Journalism</c:v>
                </c:pt>
                <c:pt idx="5">
                  <c:v>Computers &amp; Mathematics</c:v>
                </c:pt>
                <c:pt idx="6">
                  <c:v>Education</c:v>
                </c:pt>
                <c:pt idx="7">
                  <c:v>Engineering</c:v>
                </c:pt>
                <c:pt idx="8">
                  <c:v>Health</c:v>
                </c:pt>
                <c:pt idx="9">
                  <c:v>Humanities &amp; Liberal Arts</c:v>
                </c:pt>
                <c:pt idx="10">
                  <c:v>Industrial Arts &amp; Consumer Services</c:v>
                </c:pt>
                <c:pt idx="11">
                  <c:v>Interdisciplinary</c:v>
                </c:pt>
                <c:pt idx="12">
                  <c:v>Law &amp; Public Policy</c:v>
                </c:pt>
                <c:pt idx="13">
                  <c:v>Physical Sciences</c:v>
                </c:pt>
                <c:pt idx="14">
                  <c:v>Psychology &amp; Social Work</c:v>
                </c:pt>
                <c:pt idx="15">
                  <c:v>Social Science</c:v>
                </c:pt>
              </c:strCache>
            </c:strRef>
          </c:cat>
          <c:val>
            <c:numRef>
              <c:f>Pivot_Tables!$E$2:$E$18</c:f>
              <c:numCache>
                <c:formatCode>General</c:formatCode>
                <c:ptCount val="16"/>
                <c:pt idx="0">
                  <c:v>3.9569180400000001E-2</c:v>
                </c:pt>
                <c:pt idx="1">
                  <c:v>8.7600517124999999E-2</c:v>
                </c:pt>
                <c:pt idx="2">
                  <c:v>4.9935968499999997E-2</c:v>
                </c:pt>
                <c:pt idx="3">
                  <c:v>5.449601530769229E-2</c:v>
                </c:pt>
                <c:pt idx="4">
                  <c:v>6.9124520750000001E-2</c:v>
                </c:pt>
                <c:pt idx="5">
                  <c:v>5.9436983818181827E-2</c:v>
                </c:pt>
                <c:pt idx="6">
                  <c:v>4.6761964062500008E-2</c:v>
                </c:pt>
                <c:pt idx="7">
                  <c:v>5.0630022965517232E-2</c:v>
                </c:pt>
                <c:pt idx="8">
                  <c:v>4.7209279E-2</c:v>
                </c:pt>
                <c:pt idx="9">
                  <c:v>6.9428707399999998E-2</c:v>
                </c:pt>
                <c:pt idx="10">
                  <c:v>5.8545672285714279E-2</c:v>
                </c:pt>
                <c:pt idx="11">
                  <c:v>7.7268967999999993E-2</c:v>
                </c:pt>
                <c:pt idx="12">
                  <c:v>6.7853562199999995E-2</c:v>
                </c:pt>
                <c:pt idx="13">
                  <c:v>5.4540616900000005E-2</c:v>
                </c:pt>
                <c:pt idx="14">
                  <c:v>7.7867016555555557E-2</c:v>
                </c:pt>
                <c:pt idx="15">
                  <c:v>6.5685662333333339E-2</c:v>
                </c:pt>
              </c:numCache>
            </c:numRef>
          </c:val>
          <c:extLst>
            <c:ext xmlns:c16="http://schemas.microsoft.com/office/drawing/2014/chart" uri="{C3380CC4-5D6E-409C-BE32-E72D297353CC}">
              <c16:uniqueId val="{00000000-A55C-4F34-85B7-DECB943685F5}"/>
            </c:ext>
          </c:extLst>
        </c:ser>
        <c:dLbls>
          <c:showLegendKey val="0"/>
          <c:showVal val="0"/>
          <c:showCatName val="0"/>
          <c:showSerName val="0"/>
          <c:showPercent val="0"/>
          <c:showBubbleSize val="0"/>
        </c:dLbls>
        <c:gapWidth val="219"/>
        <c:overlap val="-27"/>
        <c:axId val="1580879168"/>
        <c:axId val="1580878688"/>
      </c:barChart>
      <c:catAx>
        <c:axId val="158087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Major_category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78688"/>
        <c:crosses val="autoZero"/>
        <c:auto val="1"/>
        <c:lblAlgn val="ctr"/>
        <c:lblOffset val="100"/>
        <c:noMultiLvlLbl val="0"/>
      </c:catAx>
      <c:valAx>
        <c:axId val="15808786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Avg Unemployment_rate</a:t>
                </a:r>
                <a:endParaRPr lang="en-IN"/>
              </a:p>
            </c:rich>
          </c:tx>
          <c:layout>
            <c:manualLayout>
              <c:xMode val="edge"/>
              <c:yMode val="edge"/>
              <c:x val="1.7331022530329289E-2"/>
              <c:y val="0.19658874671916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7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[US_College_Majors_Economic_Outcomes_Dashboard.xlsx.xlsx]Pivot_Tables!PivotTable3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Arial Black" panose="020B0A04020102020204" pitchFamily="34" charset="0"/>
              </a:rPr>
              <a:t>Salary Premium by Category</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Pivot_Tables!$H$1</c:f>
              <c:strCache>
                <c:ptCount val="1"/>
                <c:pt idx="0">
                  <c:v>Total</c:v>
                </c:pt>
              </c:strCache>
            </c:strRef>
          </c:tx>
          <c:spPr>
            <a:solidFill>
              <a:schemeClr val="accent1"/>
            </a:solidFill>
            <a:ln>
              <a:noFill/>
            </a:ln>
            <a:effectLst/>
            <a:sp3d/>
          </c:spPr>
          <c:invertIfNegative val="0"/>
          <c:cat>
            <c:strRef>
              <c:f>Pivot_Tables!$G$2:$G$18</c:f>
              <c:strCache>
                <c:ptCount val="16"/>
                <c:pt idx="0">
                  <c:v>Agriculture &amp; Natural Resources</c:v>
                </c:pt>
                <c:pt idx="1">
                  <c:v>Arts</c:v>
                </c:pt>
                <c:pt idx="2">
                  <c:v>Biology &amp; Life Science</c:v>
                </c:pt>
                <c:pt idx="3">
                  <c:v>Business</c:v>
                </c:pt>
                <c:pt idx="4">
                  <c:v>Communications &amp; Journalism</c:v>
                </c:pt>
                <c:pt idx="5">
                  <c:v>Computers &amp; Mathematics</c:v>
                </c:pt>
                <c:pt idx="6">
                  <c:v>Education</c:v>
                </c:pt>
                <c:pt idx="7">
                  <c:v>Engineering</c:v>
                </c:pt>
                <c:pt idx="8">
                  <c:v>Health</c:v>
                </c:pt>
                <c:pt idx="9">
                  <c:v>Humanities &amp; Liberal Arts</c:v>
                </c:pt>
                <c:pt idx="10">
                  <c:v>Industrial Arts &amp; Consumer Services</c:v>
                </c:pt>
                <c:pt idx="11">
                  <c:v>Interdisciplinary</c:v>
                </c:pt>
                <c:pt idx="12">
                  <c:v>Law &amp; Public Policy</c:v>
                </c:pt>
                <c:pt idx="13">
                  <c:v>Physical Sciences</c:v>
                </c:pt>
                <c:pt idx="14">
                  <c:v>Psychology &amp; Social Work</c:v>
                </c:pt>
                <c:pt idx="15">
                  <c:v>Social Science</c:v>
                </c:pt>
              </c:strCache>
            </c:strRef>
          </c:cat>
          <c:val>
            <c:numRef>
              <c:f>Pivot_Tables!$H$2:$H$18</c:f>
              <c:numCache>
                <c:formatCode>General</c:formatCode>
                <c:ptCount val="16"/>
                <c:pt idx="0">
                  <c:v>13030</c:v>
                </c:pt>
                <c:pt idx="1">
                  <c:v>11618.75</c:v>
                </c:pt>
                <c:pt idx="2">
                  <c:v>29450</c:v>
                </c:pt>
                <c:pt idx="3">
                  <c:v>21384.615384615383</c:v>
                </c:pt>
                <c:pt idx="4">
                  <c:v>11500</c:v>
                </c:pt>
                <c:pt idx="5">
                  <c:v>16818.18181818182</c:v>
                </c:pt>
                <c:pt idx="6">
                  <c:v>13675</c:v>
                </c:pt>
                <c:pt idx="7">
                  <c:v>14400</c:v>
                </c:pt>
                <c:pt idx="8">
                  <c:v>22458.333333333332</c:v>
                </c:pt>
                <c:pt idx="9">
                  <c:v>19633.333333333332</c:v>
                </c:pt>
                <c:pt idx="10">
                  <c:v>12771.428571428571</c:v>
                </c:pt>
                <c:pt idx="11">
                  <c:v>11000</c:v>
                </c:pt>
                <c:pt idx="12">
                  <c:v>22000</c:v>
                </c:pt>
                <c:pt idx="13">
                  <c:v>24200</c:v>
                </c:pt>
                <c:pt idx="14">
                  <c:v>16933.333333333332</c:v>
                </c:pt>
                <c:pt idx="15">
                  <c:v>21555.555555555555</c:v>
                </c:pt>
              </c:numCache>
            </c:numRef>
          </c:val>
          <c:extLst>
            <c:ext xmlns:c16="http://schemas.microsoft.com/office/drawing/2014/chart" uri="{C3380CC4-5D6E-409C-BE32-E72D297353CC}">
              <c16:uniqueId val="{00000000-9D05-44B8-BE0E-E47FA5F11CFD}"/>
            </c:ext>
          </c:extLst>
        </c:ser>
        <c:dLbls>
          <c:showLegendKey val="0"/>
          <c:showVal val="0"/>
          <c:showCatName val="0"/>
          <c:showSerName val="0"/>
          <c:showPercent val="0"/>
          <c:showBubbleSize val="0"/>
        </c:dLbls>
        <c:gapWidth val="150"/>
        <c:shape val="box"/>
        <c:axId val="1447367488"/>
        <c:axId val="1667769408"/>
        <c:axId val="0"/>
      </c:bar3DChart>
      <c:catAx>
        <c:axId val="14473674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Major_category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769408"/>
        <c:crosses val="autoZero"/>
        <c:auto val="1"/>
        <c:lblAlgn val="ctr"/>
        <c:lblOffset val="100"/>
        <c:noMultiLvlLbl val="0"/>
      </c:catAx>
      <c:valAx>
        <c:axId val="1667769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salary_premium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36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[US_College_Majors_Economic_Outcomes_Dashboard.xlsx.xlsx]Pivot_Tables!PivotTable4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Arial Black" panose="020B0A04020102020204" pitchFamily="34" charset="0"/>
              </a:rPr>
              <a:t>Top 10 Majors by Salary</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Pivot_Tables!$B$196</c:f>
              <c:strCache>
                <c:ptCount val="1"/>
                <c:pt idx="0">
                  <c:v>Total</c:v>
                </c:pt>
              </c:strCache>
            </c:strRef>
          </c:tx>
          <c:spPr>
            <a:solidFill>
              <a:schemeClr val="accent1"/>
            </a:solidFill>
            <a:ln>
              <a:noFill/>
            </a:ln>
            <a:effectLst/>
          </c:spPr>
          <c:invertIfNegative val="0"/>
          <c:cat>
            <c:strRef>
              <c:f>Pivot_Tables!$A$197:$A$207</c:f>
              <c:strCache>
                <c:ptCount val="10"/>
                <c:pt idx="0">
                  <c:v>CHEMICAL ENGINEERING</c:v>
                </c:pt>
                <c:pt idx="1">
                  <c:v>ELECTRICAL ENGINEERING</c:v>
                </c:pt>
                <c:pt idx="2">
                  <c:v>GEOLOGICAL AND GEOPHYSICAL ENGINEERING</c:v>
                </c:pt>
                <c:pt idx="3">
                  <c:v>MATHEMATICS AND COMPUTER SCIENCE</c:v>
                </c:pt>
                <c:pt idx="4">
                  <c:v>METALLURGICAL ENGINEERING</c:v>
                </c:pt>
                <c:pt idx="5">
                  <c:v>MINING AND MINERAL ENGINEERING</c:v>
                </c:pt>
                <c:pt idx="6">
                  <c:v>NAVAL ARCHITECTURE AND MARINE ENGINEERING</c:v>
                </c:pt>
                <c:pt idx="7">
                  <c:v>NUCLEAR ENGINEERING</c:v>
                </c:pt>
                <c:pt idx="8">
                  <c:v>PETROLEUM ENGINEERING</c:v>
                </c:pt>
                <c:pt idx="9">
                  <c:v>PHARMACY PHARMACEUTICAL SCIENCES AND ADMINISTRATION</c:v>
                </c:pt>
              </c:strCache>
            </c:strRef>
          </c:cat>
          <c:val>
            <c:numRef>
              <c:f>Pivot_Tables!$B$197:$B$207</c:f>
              <c:numCache>
                <c:formatCode>General</c:formatCode>
                <c:ptCount val="10"/>
                <c:pt idx="0">
                  <c:v>86000</c:v>
                </c:pt>
                <c:pt idx="1">
                  <c:v>88000</c:v>
                </c:pt>
                <c:pt idx="2">
                  <c:v>85000</c:v>
                </c:pt>
                <c:pt idx="3">
                  <c:v>92000</c:v>
                </c:pt>
                <c:pt idx="4">
                  <c:v>96000</c:v>
                </c:pt>
                <c:pt idx="5">
                  <c:v>92000</c:v>
                </c:pt>
                <c:pt idx="6">
                  <c:v>97000</c:v>
                </c:pt>
                <c:pt idx="7">
                  <c:v>95000</c:v>
                </c:pt>
                <c:pt idx="8">
                  <c:v>125000</c:v>
                </c:pt>
                <c:pt idx="9">
                  <c:v>106000</c:v>
                </c:pt>
              </c:numCache>
            </c:numRef>
          </c:val>
          <c:extLst>
            <c:ext xmlns:c16="http://schemas.microsoft.com/office/drawing/2014/chart" uri="{C3380CC4-5D6E-409C-BE32-E72D297353CC}">
              <c16:uniqueId val="{00000000-6018-489F-A12A-B1B5DE251260}"/>
            </c:ext>
          </c:extLst>
        </c:ser>
        <c:dLbls>
          <c:showLegendKey val="0"/>
          <c:showVal val="0"/>
          <c:showCatName val="0"/>
          <c:showSerName val="0"/>
          <c:showPercent val="0"/>
          <c:showBubbleSize val="0"/>
        </c:dLbls>
        <c:gapWidth val="150"/>
        <c:overlap val="100"/>
        <c:axId val="1445445568"/>
        <c:axId val="1445445088"/>
      </c:barChart>
      <c:catAx>
        <c:axId val="14454455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Major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45088"/>
        <c:crosses val="autoZero"/>
        <c:auto val="1"/>
        <c:lblAlgn val="ctr"/>
        <c:lblOffset val="100"/>
        <c:noMultiLvlLbl val="0"/>
      </c:catAx>
      <c:valAx>
        <c:axId val="1445445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Median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4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[US_College_Majors_Economic_Outcomes_Dashboard.xlsx.xlsx]Pivot_Tables!PivotTable15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Arial Black" panose="020B0A04020102020204" pitchFamily="34" charset="0"/>
              </a:rPr>
              <a:t>Bottom 10 Majors by Salary</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Pivot_Tables!$E$196</c:f>
              <c:strCache>
                <c:ptCount val="1"/>
                <c:pt idx="0">
                  <c:v>Total</c:v>
                </c:pt>
              </c:strCache>
            </c:strRef>
          </c:tx>
          <c:spPr>
            <a:solidFill>
              <a:schemeClr val="accent1"/>
            </a:solidFill>
            <a:ln>
              <a:noFill/>
            </a:ln>
            <a:effectLst/>
          </c:spPr>
          <c:invertIfNegative val="0"/>
          <c:cat>
            <c:strRef>
              <c:f>Pivot_Tables!$D$197:$D$211</c:f>
              <c:strCache>
                <c:ptCount val="14"/>
                <c:pt idx="0">
                  <c:v>COMPOSITION AND RHETORIC</c:v>
                </c:pt>
                <c:pt idx="1">
                  <c:v>COSMETOLOGY SERVICES AND CULINARY ARTS</c:v>
                </c:pt>
                <c:pt idx="2">
                  <c:v>COUNSELING PSYCHOLOGY</c:v>
                </c:pt>
                <c:pt idx="3">
                  <c:v>EARLY CHILDHOOD EDUCATION</c:v>
                </c:pt>
                <c:pt idx="4">
                  <c:v>EDUCATIONAL PSYCHOLOGY</c:v>
                </c:pt>
                <c:pt idx="5">
                  <c:v>ELEMENTARY EDUCATION</c:v>
                </c:pt>
                <c:pt idx="6">
                  <c:v>HUMAN SERVICES AND COMMUNITY ORGANIZATION</c:v>
                </c:pt>
                <c:pt idx="7">
                  <c:v>LIBRARY SCIENCE</c:v>
                </c:pt>
                <c:pt idx="8">
                  <c:v>NEUROSCIENCE</c:v>
                </c:pt>
                <c:pt idx="9">
                  <c:v>SOCIAL WORK</c:v>
                </c:pt>
                <c:pt idx="10">
                  <c:v>STUDIO ARTS</c:v>
                </c:pt>
                <c:pt idx="11">
                  <c:v>TEACHER EDUCATION: MULTIPLE LEVELS</c:v>
                </c:pt>
                <c:pt idx="12">
                  <c:v>THEOLOGY AND RELIGIOUS VOCATIONS</c:v>
                </c:pt>
                <c:pt idx="13">
                  <c:v>VISUAL AND PERFORMING ARTS</c:v>
                </c:pt>
              </c:strCache>
            </c:strRef>
          </c:cat>
          <c:val>
            <c:numRef>
              <c:f>Pivot_Tables!$E$197:$E$211</c:f>
              <c:numCache>
                <c:formatCode>General</c:formatCode>
                <c:ptCount val="14"/>
                <c:pt idx="0">
                  <c:v>40000</c:v>
                </c:pt>
                <c:pt idx="1">
                  <c:v>40000</c:v>
                </c:pt>
                <c:pt idx="2">
                  <c:v>39000</c:v>
                </c:pt>
                <c:pt idx="3">
                  <c:v>35300</c:v>
                </c:pt>
                <c:pt idx="4">
                  <c:v>40000</c:v>
                </c:pt>
                <c:pt idx="5">
                  <c:v>40000</c:v>
                </c:pt>
                <c:pt idx="6">
                  <c:v>38000</c:v>
                </c:pt>
                <c:pt idx="7">
                  <c:v>40000</c:v>
                </c:pt>
                <c:pt idx="8">
                  <c:v>35000</c:v>
                </c:pt>
                <c:pt idx="9">
                  <c:v>40000</c:v>
                </c:pt>
                <c:pt idx="10">
                  <c:v>37600</c:v>
                </c:pt>
                <c:pt idx="11">
                  <c:v>40000</c:v>
                </c:pt>
                <c:pt idx="12">
                  <c:v>40000</c:v>
                </c:pt>
                <c:pt idx="13">
                  <c:v>40000</c:v>
                </c:pt>
              </c:numCache>
            </c:numRef>
          </c:val>
          <c:extLst>
            <c:ext xmlns:c16="http://schemas.microsoft.com/office/drawing/2014/chart" uri="{C3380CC4-5D6E-409C-BE32-E72D297353CC}">
              <c16:uniqueId val="{00000000-A070-48CA-AF55-386DE6DAD2DF}"/>
            </c:ext>
          </c:extLst>
        </c:ser>
        <c:dLbls>
          <c:showLegendKey val="0"/>
          <c:showVal val="0"/>
          <c:showCatName val="0"/>
          <c:showSerName val="0"/>
          <c:showPercent val="0"/>
          <c:showBubbleSize val="0"/>
        </c:dLbls>
        <c:gapWidth val="182"/>
        <c:axId val="1835289408"/>
        <c:axId val="1835285088"/>
      </c:barChart>
      <c:catAx>
        <c:axId val="18352894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Major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285088"/>
        <c:crosses val="autoZero"/>
        <c:auto val="1"/>
        <c:lblAlgn val="ctr"/>
        <c:lblOffset val="100"/>
        <c:noMultiLvlLbl val="0"/>
      </c:catAx>
      <c:valAx>
        <c:axId val="1835285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Median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28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[US_College_Majors_Economic_Outcomes_Dashboard.xlsx.xlsx]Pivot_Tables!PivotTable17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Arial Black" panose="020B0A04020102020204" pitchFamily="34" charset="0"/>
              </a:rPr>
              <a:t>Salary vs Unemployment</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Pivot_Tables!$H$196</c:f>
              <c:strCache>
                <c:ptCount val="1"/>
                <c:pt idx="0">
                  <c:v>Total</c:v>
                </c:pt>
              </c:strCache>
            </c:strRef>
          </c:tx>
          <c:spPr>
            <a:ln w="28575" cap="rnd">
              <a:solidFill>
                <a:schemeClr val="accent1"/>
              </a:solidFill>
              <a:round/>
            </a:ln>
            <a:effectLst/>
          </c:spPr>
          <c:marker>
            <c:symbol val="none"/>
          </c:marker>
          <c:cat>
            <c:strRef>
              <c:f>Pivot_Tables!$G$197:$G$255</c:f>
              <c:strCache>
                <c:ptCount val="58"/>
                <c:pt idx="0">
                  <c:v>35000</c:v>
                </c:pt>
                <c:pt idx="1">
                  <c:v>35300</c:v>
                </c:pt>
                <c:pt idx="2">
                  <c:v>37600</c:v>
                </c:pt>
                <c:pt idx="3">
                  <c:v>38000</c:v>
                </c:pt>
                <c:pt idx="4">
                  <c:v>39000</c:v>
                </c:pt>
                <c:pt idx="5">
                  <c:v>40000</c:v>
                </c:pt>
                <c:pt idx="6">
                  <c:v>40500</c:v>
                </c:pt>
                <c:pt idx="7">
                  <c:v>41000</c:v>
                </c:pt>
                <c:pt idx="8">
                  <c:v>42000</c:v>
                </c:pt>
                <c:pt idx="9">
                  <c:v>42600</c:v>
                </c:pt>
                <c:pt idx="10">
                  <c:v>43000</c:v>
                </c:pt>
                <c:pt idx="11">
                  <c:v>44000</c:v>
                </c:pt>
                <c:pt idx="12">
                  <c:v>44500</c:v>
                </c:pt>
                <c:pt idx="13">
                  <c:v>45000</c:v>
                </c:pt>
                <c:pt idx="14">
                  <c:v>46000</c:v>
                </c:pt>
                <c:pt idx="15">
                  <c:v>46600</c:v>
                </c:pt>
                <c:pt idx="16">
                  <c:v>46700</c:v>
                </c:pt>
                <c:pt idx="17">
                  <c:v>47000</c:v>
                </c:pt>
                <c:pt idx="18">
                  <c:v>47500</c:v>
                </c:pt>
                <c:pt idx="19">
                  <c:v>48000</c:v>
                </c:pt>
                <c:pt idx="20">
                  <c:v>48400</c:v>
                </c:pt>
                <c:pt idx="21">
                  <c:v>49000</c:v>
                </c:pt>
                <c:pt idx="22">
                  <c:v>49500</c:v>
                </c:pt>
                <c:pt idx="23">
                  <c:v>50000</c:v>
                </c:pt>
                <c:pt idx="24">
                  <c:v>51000</c:v>
                </c:pt>
                <c:pt idx="25">
                  <c:v>52000</c:v>
                </c:pt>
                <c:pt idx="26">
                  <c:v>53000</c:v>
                </c:pt>
                <c:pt idx="27">
                  <c:v>54000</c:v>
                </c:pt>
                <c:pt idx="28">
                  <c:v>55000</c:v>
                </c:pt>
                <c:pt idx="29">
                  <c:v>56000</c:v>
                </c:pt>
                <c:pt idx="30">
                  <c:v>57000</c:v>
                </c:pt>
                <c:pt idx="31">
                  <c:v>58000</c:v>
                </c:pt>
                <c:pt idx="32">
                  <c:v>59000</c:v>
                </c:pt>
                <c:pt idx="33">
                  <c:v>60000</c:v>
                </c:pt>
                <c:pt idx="34">
                  <c:v>61000</c:v>
                </c:pt>
                <c:pt idx="35">
                  <c:v>62000</c:v>
                </c:pt>
                <c:pt idx="36">
                  <c:v>63000</c:v>
                </c:pt>
                <c:pt idx="37">
                  <c:v>64000</c:v>
                </c:pt>
                <c:pt idx="38">
                  <c:v>65000</c:v>
                </c:pt>
                <c:pt idx="39">
                  <c:v>66000</c:v>
                </c:pt>
                <c:pt idx="40">
                  <c:v>67000</c:v>
                </c:pt>
                <c:pt idx="41">
                  <c:v>68000</c:v>
                </c:pt>
                <c:pt idx="42">
                  <c:v>69000</c:v>
                </c:pt>
                <c:pt idx="43">
                  <c:v>70000</c:v>
                </c:pt>
                <c:pt idx="44">
                  <c:v>72000</c:v>
                </c:pt>
                <c:pt idx="45">
                  <c:v>74000</c:v>
                </c:pt>
                <c:pt idx="46">
                  <c:v>75000</c:v>
                </c:pt>
                <c:pt idx="47">
                  <c:v>78000</c:v>
                </c:pt>
                <c:pt idx="48">
                  <c:v>80000</c:v>
                </c:pt>
                <c:pt idx="49">
                  <c:v>85000</c:v>
                </c:pt>
                <c:pt idx="50">
                  <c:v>86000</c:v>
                </c:pt>
                <c:pt idx="51">
                  <c:v>88000</c:v>
                </c:pt>
                <c:pt idx="52">
                  <c:v>92000</c:v>
                </c:pt>
                <c:pt idx="53">
                  <c:v>95000</c:v>
                </c:pt>
                <c:pt idx="54">
                  <c:v>96000</c:v>
                </c:pt>
                <c:pt idx="55">
                  <c:v>97000</c:v>
                </c:pt>
                <c:pt idx="56">
                  <c:v>106000</c:v>
                </c:pt>
                <c:pt idx="57">
                  <c:v>125000</c:v>
                </c:pt>
              </c:strCache>
            </c:strRef>
          </c:cat>
          <c:val>
            <c:numRef>
              <c:f>Pivot_Tables!$H$197:$H$255</c:f>
              <c:numCache>
                <c:formatCode>General</c:formatCode>
                <c:ptCount val="58"/>
                <c:pt idx="0">
                  <c:v>6.8897637999999997E-2</c:v>
                </c:pt>
                <c:pt idx="1">
                  <c:v>4.9350649000000003E-2</c:v>
                </c:pt>
                <c:pt idx="2">
                  <c:v>8.3713827000000005E-2</c:v>
                </c:pt>
                <c:pt idx="3">
                  <c:v>7.2421293999999997E-2</c:v>
                </c:pt>
                <c:pt idx="4">
                  <c:v>6.8021390000000001E-2</c:v>
                </c:pt>
                <c:pt idx="5">
                  <c:v>6.3031647111111117E-2</c:v>
                </c:pt>
                <c:pt idx="6">
                  <c:v>5.5784848999999997E-2</c:v>
                </c:pt>
                <c:pt idx="7">
                  <c:v>0.101745936</c:v>
                </c:pt>
                <c:pt idx="8">
                  <c:v>5.5491464750000004E-2</c:v>
                </c:pt>
                <c:pt idx="9">
                  <c:v>4.0973373E-2</c:v>
                </c:pt>
                <c:pt idx="10">
                  <c:v>5.808282E-2</c:v>
                </c:pt>
                <c:pt idx="11">
                  <c:v>4.6902999000000001E-2</c:v>
                </c:pt>
                <c:pt idx="12">
                  <c:v>6.3912645000000004E-2</c:v>
                </c:pt>
                <c:pt idx="13">
                  <c:v>7.3428179357142867E-2</c:v>
                </c:pt>
                <c:pt idx="14">
                  <c:v>5.0939250999999998E-2</c:v>
                </c:pt>
                <c:pt idx="15">
                  <c:v>7.3919718999999995E-2</c:v>
                </c:pt>
                <c:pt idx="16">
                  <c:v>7.7843758999999998E-2</c:v>
                </c:pt>
                <c:pt idx="17">
                  <c:v>7.6321790500000014E-2</c:v>
                </c:pt>
                <c:pt idx="18">
                  <c:v>4.8916986000000003E-2</c:v>
                </c:pt>
                <c:pt idx="19">
                  <c:v>6.4436356333333333E-2</c:v>
                </c:pt>
                <c:pt idx="20">
                  <c:v>4.6266957999999997E-2</c:v>
                </c:pt>
                <c:pt idx="21">
                  <c:v>5.7983076500000001E-2</c:v>
                </c:pt>
                <c:pt idx="22">
                  <c:v>6.3216549999999996E-2</c:v>
                </c:pt>
                <c:pt idx="23">
                  <c:v>5.8405901368421054E-2</c:v>
                </c:pt>
                <c:pt idx="24">
                  <c:v>5.930117E-2</c:v>
                </c:pt>
                <c:pt idx="25">
                  <c:v>4.9368546999999999E-2</c:v>
                </c:pt>
                <c:pt idx="26">
                  <c:v>5.7716305666666669E-2</c:v>
                </c:pt>
                <c:pt idx="27">
                  <c:v>5.7436587750000004E-2</c:v>
                </c:pt>
                <c:pt idx="28">
                  <c:v>5.6277941833333338E-2</c:v>
                </c:pt>
                <c:pt idx="29">
                  <c:v>5.6639643666666663E-2</c:v>
                </c:pt>
                <c:pt idx="30">
                  <c:v>4.2792441000000001E-2</c:v>
                </c:pt>
                <c:pt idx="31">
                  <c:v>4.2700630249999996E-2</c:v>
                </c:pt>
                <c:pt idx="32">
                  <c:v>5.4728623999999997E-2</c:v>
                </c:pt>
                <c:pt idx="33">
                  <c:v>4.9252466111111115E-2</c:v>
                </c:pt>
                <c:pt idx="34">
                  <c:v>2.6291603E-2</c:v>
                </c:pt>
                <c:pt idx="35">
                  <c:v>5.7689268800000006E-2</c:v>
                </c:pt>
                <c:pt idx="36">
                  <c:v>5.4802908000000004E-2</c:v>
                </c:pt>
                <c:pt idx="37">
                  <c:v>0.10179640700000001</c:v>
                </c:pt>
                <c:pt idx="38">
                  <c:v>5.5315959888888898E-2</c:v>
                </c:pt>
                <c:pt idx="39">
                  <c:v>5.2936080000000003E-2</c:v>
                </c:pt>
                <c:pt idx="40">
                  <c:v>5.2823887999999999E-2</c:v>
                </c:pt>
                <c:pt idx="41">
                  <c:v>5.2841063000000001E-2</c:v>
                </c:pt>
                <c:pt idx="42">
                  <c:v>6.1312717000000003E-2</c:v>
                </c:pt>
                <c:pt idx="43">
                  <c:v>5.3199287000000005E-2</c:v>
                </c:pt>
                <c:pt idx="44">
                  <c:v>5.0020330000000002E-2</c:v>
                </c:pt>
                <c:pt idx="45">
                  <c:v>5.4658256000000002E-2</c:v>
                </c:pt>
                <c:pt idx="46">
                  <c:v>4.0504984333333334E-2</c:v>
                </c:pt>
                <c:pt idx="47">
                  <c:v>5.7919782499999996E-2</c:v>
                </c:pt>
                <c:pt idx="48">
                  <c:v>5.6645124749999998E-2</c:v>
                </c:pt>
                <c:pt idx="49">
                  <c:v>0</c:v>
                </c:pt>
                <c:pt idx="50">
                  <c:v>4.6261361000000001E-2</c:v>
                </c:pt>
                <c:pt idx="51">
                  <c:v>5.0508788999999998E-2</c:v>
                </c:pt>
                <c:pt idx="52">
                  <c:v>3.5966004500000003E-2</c:v>
                </c:pt>
                <c:pt idx="53">
                  <c:v>6.7159423999999995E-2</c:v>
                </c:pt>
                <c:pt idx="54">
                  <c:v>4.4872677E-2</c:v>
                </c:pt>
                <c:pt idx="55">
                  <c:v>4.0308825E-2</c:v>
                </c:pt>
                <c:pt idx="56">
                  <c:v>3.4357681000000001E-2</c:v>
                </c:pt>
                <c:pt idx="57">
                  <c:v>4.2205349000000003E-2</c:v>
                </c:pt>
              </c:numCache>
            </c:numRef>
          </c:val>
          <c:smooth val="0"/>
          <c:extLst>
            <c:ext xmlns:c16="http://schemas.microsoft.com/office/drawing/2014/chart" uri="{C3380CC4-5D6E-409C-BE32-E72D297353CC}">
              <c16:uniqueId val="{00000000-5A82-493B-8F9E-EE05F917ACA0}"/>
            </c:ext>
          </c:extLst>
        </c:ser>
        <c:dLbls>
          <c:showLegendKey val="0"/>
          <c:showVal val="0"/>
          <c:showCatName val="0"/>
          <c:showSerName val="0"/>
          <c:showPercent val="0"/>
          <c:showBubbleSize val="0"/>
        </c:dLbls>
        <c:smooth val="0"/>
        <c:axId val="1666841696"/>
        <c:axId val="1580879648"/>
      </c:lineChart>
      <c:catAx>
        <c:axId val="1666841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Median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79648"/>
        <c:crosses val="autoZero"/>
        <c:auto val="1"/>
        <c:lblAlgn val="ctr"/>
        <c:lblOffset val="100"/>
        <c:noMultiLvlLbl val="0"/>
      </c:catAx>
      <c:valAx>
        <c:axId val="15808796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Unemployment_rate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4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[US_College_Majors_Economic_Outcomes_Dashboard.xlsx.xlsx]Pivot_Tables!PivotTable8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Top</a:t>
            </a:r>
            <a:r>
              <a:rPr lang="en-US" baseline="0">
                <a:latin typeface="Arial Black" panose="020B0A04020102020204" pitchFamily="34" charset="0"/>
              </a:rPr>
              <a:t> 10 </a:t>
            </a:r>
            <a:r>
              <a:rPr lang="en-IN" sz="1400" b="0" i="0" u="none" strike="noStrike" baseline="0">
                <a:latin typeface="Arial Black" panose="020B0A04020102020204" pitchFamily="34" charset="0"/>
              </a:rPr>
              <a:t>Full-Time Share by Major</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Pivot_Tables!$K$1</c:f>
              <c:strCache>
                <c:ptCount val="1"/>
                <c:pt idx="0">
                  <c:v>Total</c:v>
                </c:pt>
              </c:strCache>
            </c:strRef>
          </c:tx>
          <c:spPr>
            <a:solidFill>
              <a:schemeClr val="accent1"/>
            </a:solidFill>
            <a:ln>
              <a:noFill/>
            </a:ln>
            <a:effectLst/>
          </c:spPr>
          <c:invertIfNegative val="0"/>
          <c:cat>
            <c:strRef>
              <c:f>Pivot_Tables!$J$2:$J$12</c:f>
              <c:strCache>
                <c:ptCount val="10"/>
                <c:pt idx="0">
                  <c:v>MILITARY TECHNOLOGIES</c:v>
                </c:pt>
                <c:pt idx="1">
                  <c:v>NUCLEAR ENGINEERING</c:v>
                </c:pt>
                <c:pt idx="2">
                  <c:v>MECHANICAL ENGINEERING RELATED TECHNOLOGIES</c:v>
                </c:pt>
                <c:pt idx="3">
                  <c:v>MANAGEMENT INFORMATION SYSTEMS AND STATISTICS</c:v>
                </c:pt>
                <c:pt idx="4">
                  <c:v>ACTUARIAL SCIENCE</c:v>
                </c:pt>
                <c:pt idx="5">
                  <c:v>INDUSTRIAL PRODUCTION TECHNOLOGIES</c:v>
                </c:pt>
                <c:pt idx="6">
                  <c:v>COMPUTER AND INFORMATION SYSTEMS</c:v>
                </c:pt>
                <c:pt idx="7">
                  <c:v>ELECTRICAL ENGINEERING TECHNOLOGY</c:v>
                </c:pt>
                <c:pt idx="8">
                  <c:v>COMPUTER ADMINISTRATION MANAGEMENT AND SECURITY</c:v>
                </c:pt>
                <c:pt idx="9">
                  <c:v>MISCELLANEOUS ENGINEERING TECHNOLOGIES</c:v>
                </c:pt>
              </c:strCache>
            </c:strRef>
          </c:cat>
          <c:val>
            <c:numRef>
              <c:f>Pivot_Tables!$K$2:$K$12</c:f>
              <c:numCache>
                <c:formatCode>General</c:formatCode>
                <c:ptCount val="10"/>
                <c:pt idx="0">
                  <c:v>1.0351515151515152</c:v>
                </c:pt>
                <c:pt idx="1">
                  <c:v>0.88442622950819672</c:v>
                </c:pt>
                <c:pt idx="2">
                  <c:v>0.87941298057048367</c:v>
                </c:pt>
                <c:pt idx="3">
                  <c:v>0.87931855024613692</c:v>
                </c:pt>
                <c:pt idx="4">
                  <c:v>0.87687993882232984</c:v>
                </c:pt>
                <c:pt idx="5">
                  <c:v>0.87561352272901027</c:v>
                </c:pt>
                <c:pt idx="6">
                  <c:v>0.87034016348374321</c:v>
                </c:pt>
                <c:pt idx="7">
                  <c:v>0.87007879355004947</c:v>
                </c:pt>
                <c:pt idx="8">
                  <c:v>0.86992523017981838</c:v>
                </c:pt>
                <c:pt idx="9">
                  <c:v>0.86978548693899849</c:v>
                </c:pt>
              </c:numCache>
            </c:numRef>
          </c:val>
          <c:extLst>
            <c:ext xmlns:c16="http://schemas.microsoft.com/office/drawing/2014/chart" uri="{C3380CC4-5D6E-409C-BE32-E72D297353CC}">
              <c16:uniqueId val="{00000000-3E30-48BF-AE78-94FA1F3A315C}"/>
            </c:ext>
          </c:extLst>
        </c:ser>
        <c:dLbls>
          <c:showLegendKey val="0"/>
          <c:showVal val="0"/>
          <c:showCatName val="0"/>
          <c:showSerName val="0"/>
          <c:showPercent val="0"/>
          <c:showBubbleSize val="0"/>
        </c:dLbls>
        <c:gapWidth val="182"/>
        <c:axId val="1921994576"/>
        <c:axId val="1921995056"/>
      </c:barChart>
      <c:catAx>
        <c:axId val="1921994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Major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995056"/>
        <c:crosses val="autoZero"/>
        <c:auto val="1"/>
        <c:lblAlgn val="ctr"/>
        <c:lblOffset val="100"/>
        <c:noMultiLvlLbl val="0"/>
      </c:catAx>
      <c:valAx>
        <c:axId val="192199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full_time_share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99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Arial Black" panose="020B0A04020102020204" pitchFamily="34" charset="0"/>
              </a:rPr>
              <a:t>Grad vs Non-Grad Salary</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Pivot_Tables!$K$86</c:f>
              <c:strCache>
                <c:ptCount val="1"/>
                <c:pt idx="0">
                  <c:v>Average of Nongrad_median</c:v>
                </c:pt>
              </c:strCache>
            </c:strRef>
          </c:tx>
          <c:spPr>
            <a:ln w="19050" cap="rnd">
              <a:noFill/>
              <a:round/>
            </a:ln>
            <a:effectLst/>
          </c:spPr>
          <c:marker>
            <c:symbol val="circle"/>
            <c:size val="5"/>
            <c:spPr>
              <a:solidFill>
                <a:schemeClr val="accent1"/>
              </a:solidFill>
              <a:ln w="9525">
                <a:solidFill>
                  <a:schemeClr val="accent1"/>
                </a:solidFill>
              </a:ln>
              <a:effectLst/>
            </c:spPr>
          </c:marker>
          <c:xVal>
            <c:numRef>
              <c:f>Pivot_Tables!$J$87:$J$146</c:f>
              <c:numCache>
                <c:formatCode>General</c:formatCode>
                <c:ptCount val="60"/>
                <c:pt idx="0">
                  <c:v>47000</c:v>
                </c:pt>
                <c:pt idx="1">
                  <c:v>48000</c:v>
                </c:pt>
                <c:pt idx="2">
                  <c:v>50000</c:v>
                </c:pt>
                <c:pt idx="3">
                  <c:v>50100</c:v>
                </c:pt>
                <c:pt idx="4">
                  <c:v>50750</c:v>
                </c:pt>
                <c:pt idx="5">
                  <c:v>52000</c:v>
                </c:pt>
                <c:pt idx="6">
                  <c:v>53000</c:v>
                </c:pt>
                <c:pt idx="7">
                  <c:v>54000</c:v>
                </c:pt>
                <c:pt idx="8">
                  <c:v>55000</c:v>
                </c:pt>
                <c:pt idx="9">
                  <c:v>56000</c:v>
                </c:pt>
                <c:pt idx="10">
                  <c:v>57000</c:v>
                </c:pt>
                <c:pt idx="11">
                  <c:v>58000</c:v>
                </c:pt>
                <c:pt idx="12">
                  <c:v>58600</c:v>
                </c:pt>
                <c:pt idx="13">
                  <c:v>59000</c:v>
                </c:pt>
                <c:pt idx="14">
                  <c:v>60000</c:v>
                </c:pt>
                <c:pt idx="15">
                  <c:v>61000</c:v>
                </c:pt>
                <c:pt idx="16">
                  <c:v>62000</c:v>
                </c:pt>
                <c:pt idx="17">
                  <c:v>64000</c:v>
                </c:pt>
                <c:pt idx="18">
                  <c:v>65000</c:v>
                </c:pt>
                <c:pt idx="19">
                  <c:v>66000</c:v>
                </c:pt>
                <c:pt idx="20">
                  <c:v>67000</c:v>
                </c:pt>
                <c:pt idx="21">
                  <c:v>68000</c:v>
                </c:pt>
                <c:pt idx="22">
                  <c:v>68500</c:v>
                </c:pt>
                <c:pt idx="23">
                  <c:v>69000</c:v>
                </c:pt>
                <c:pt idx="24">
                  <c:v>70000</c:v>
                </c:pt>
                <c:pt idx="25">
                  <c:v>70300</c:v>
                </c:pt>
                <c:pt idx="26">
                  <c:v>71000</c:v>
                </c:pt>
                <c:pt idx="27">
                  <c:v>72000</c:v>
                </c:pt>
                <c:pt idx="28">
                  <c:v>73000</c:v>
                </c:pt>
                <c:pt idx="29">
                  <c:v>74000</c:v>
                </c:pt>
                <c:pt idx="30">
                  <c:v>75000</c:v>
                </c:pt>
                <c:pt idx="31">
                  <c:v>76000</c:v>
                </c:pt>
                <c:pt idx="32">
                  <c:v>77000</c:v>
                </c:pt>
                <c:pt idx="33">
                  <c:v>78000</c:v>
                </c:pt>
                <c:pt idx="34">
                  <c:v>79000</c:v>
                </c:pt>
                <c:pt idx="35">
                  <c:v>80000</c:v>
                </c:pt>
                <c:pt idx="36">
                  <c:v>81000</c:v>
                </c:pt>
                <c:pt idx="37">
                  <c:v>82000</c:v>
                </c:pt>
                <c:pt idx="38">
                  <c:v>84000</c:v>
                </c:pt>
                <c:pt idx="39">
                  <c:v>84500</c:v>
                </c:pt>
                <c:pt idx="40">
                  <c:v>85000</c:v>
                </c:pt>
                <c:pt idx="41">
                  <c:v>86000</c:v>
                </c:pt>
                <c:pt idx="42">
                  <c:v>88000</c:v>
                </c:pt>
                <c:pt idx="43">
                  <c:v>89000</c:v>
                </c:pt>
                <c:pt idx="44">
                  <c:v>90000</c:v>
                </c:pt>
                <c:pt idx="45">
                  <c:v>92000</c:v>
                </c:pt>
                <c:pt idx="46">
                  <c:v>94000</c:v>
                </c:pt>
                <c:pt idx="47">
                  <c:v>95000</c:v>
                </c:pt>
                <c:pt idx="48">
                  <c:v>96000</c:v>
                </c:pt>
                <c:pt idx="49">
                  <c:v>97000</c:v>
                </c:pt>
                <c:pt idx="50">
                  <c:v>98000</c:v>
                </c:pt>
                <c:pt idx="51">
                  <c:v>100000</c:v>
                </c:pt>
                <c:pt idx="52">
                  <c:v>102000</c:v>
                </c:pt>
                <c:pt idx="53">
                  <c:v>105000</c:v>
                </c:pt>
                <c:pt idx="54">
                  <c:v>106000</c:v>
                </c:pt>
                <c:pt idx="55">
                  <c:v>107000</c:v>
                </c:pt>
                <c:pt idx="56">
                  <c:v>110000</c:v>
                </c:pt>
                <c:pt idx="57">
                  <c:v>111000</c:v>
                </c:pt>
                <c:pt idx="58">
                  <c:v>124000</c:v>
                </c:pt>
                <c:pt idx="59">
                  <c:v>135000</c:v>
                </c:pt>
              </c:numCache>
            </c:numRef>
          </c:xVal>
          <c:yVal>
            <c:numRef>
              <c:f>Pivot_Tables!$K$87:$K$146</c:f>
              <c:numCache>
                <c:formatCode>General</c:formatCode>
                <c:ptCount val="60"/>
                <c:pt idx="0">
                  <c:v>41600</c:v>
                </c:pt>
                <c:pt idx="1">
                  <c:v>40000</c:v>
                </c:pt>
                <c:pt idx="2">
                  <c:v>38500</c:v>
                </c:pt>
                <c:pt idx="3">
                  <c:v>38700</c:v>
                </c:pt>
                <c:pt idx="4">
                  <c:v>38000</c:v>
                </c:pt>
                <c:pt idx="5">
                  <c:v>40000</c:v>
                </c:pt>
                <c:pt idx="6">
                  <c:v>40000</c:v>
                </c:pt>
                <c:pt idx="7">
                  <c:v>55000</c:v>
                </c:pt>
                <c:pt idx="8">
                  <c:v>42500</c:v>
                </c:pt>
                <c:pt idx="9">
                  <c:v>42000</c:v>
                </c:pt>
                <c:pt idx="10">
                  <c:v>50666.666666666664</c:v>
                </c:pt>
                <c:pt idx="11">
                  <c:v>42885.714285714283</c:v>
                </c:pt>
                <c:pt idx="12">
                  <c:v>45000</c:v>
                </c:pt>
                <c:pt idx="13">
                  <c:v>44000</c:v>
                </c:pt>
                <c:pt idx="14">
                  <c:v>46771.428571428572</c:v>
                </c:pt>
                <c:pt idx="15">
                  <c:v>45000</c:v>
                </c:pt>
                <c:pt idx="16">
                  <c:v>48900</c:v>
                </c:pt>
                <c:pt idx="17">
                  <c:v>47500</c:v>
                </c:pt>
                <c:pt idx="18">
                  <c:v>50464.285714285717</c:v>
                </c:pt>
                <c:pt idx="19">
                  <c:v>46000</c:v>
                </c:pt>
                <c:pt idx="20">
                  <c:v>51250</c:v>
                </c:pt>
                <c:pt idx="21">
                  <c:v>50200</c:v>
                </c:pt>
                <c:pt idx="22">
                  <c:v>50000</c:v>
                </c:pt>
                <c:pt idx="23">
                  <c:v>50000</c:v>
                </c:pt>
                <c:pt idx="24">
                  <c:v>52444.444444444445</c:v>
                </c:pt>
                <c:pt idx="25">
                  <c:v>48000</c:v>
                </c:pt>
                <c:pt idx="26">
                  <c:v>49000</c:v>
                </c:pt>
                <c:pt idx="27">
                  <c:v>61333.333333333336</c:v>
                </c:pt>
                <c:pt idx="28">
                  <c:v>54500</c:v>
                </c:pt>
                <c:pt idx="29">
                  <c:v>64500</c:v>
                </c:pt>
                <c:pt idx="30">
                  <c:v>56833.333333333336</c:v>
                </c:pt>
                <c:pt idx="31">
                  <c:v>55000</c:v>
                </c:pt>
                <c:pt idx="32">
                  <c:v>60000</c:v>
                </c:pt>
                <c:pt idx="33">
                  <c:v>64000</c:v>
                </c:pt>
                <c:pt idx="34">
                  <c:v>52000</c:v>
                </c:pt>
                <c:pt idx="35">
                  <c:v>60800</c:v>
                </c:pt>
                <c:pt idx="36">
                  <c:v>65950</c:v>
                </c:pt>
                <c:pt idx="37">
                  <c:v>56000</c:v>
                </c:pt>
                <c:pt idx="38">
                  <c:v>66666.666666666672</c:v>
                </c:pt>
                <c:pt idx="39">
                  <c:v>70000</c:v>
                </c:pt>
                <c:pt idx="40">
                  <c:v>59600</c:v>
                </c:pt>
                <c:pt idx="41">
                  <c:v>59500</c:v>
                </c:pt>
                <c:pt idx="42">
                  <c:v>65000</c:v>
                </c:pt>
                <c:pt idx="43">
                  <c:v>67666.666666666672</c:v>
                </c:pt>
                <c:pt idx="44">
                  <c:v>62833.333333333336</c:v>
                </c:pt>
                <c:pt idx="45">
                  <c:v>71000</c:v>
                </c:pt>
                <c:pt idx="46">
                  <c:v>68000</c:v>
                </c:pt>
                <c:pt idx="47">
                  <c:v>67800</c:v>
                </c:pt>
                <c:pt idx="48">
                  <c:v>70000</c:v>
                </c:pt>
                <c:pt idx="49">
                  <c:v>81000</c:v>
                </c:pt>
                <c:pt idx="50">
                  <c:v>82666.666666666672</c:v>
                </c:pt>
                <c:pt idx="51">
                  <c:v>77777.777777777781</c:v>
                </c:pt>
                <c:pt idx="52">
                  <c:v>95000</c:v>
                </c:pt>
                <c:pt idx="53">
                  <c:v>76500</c:v>
                </c:pt>
                <c:pt idx="54">
                  <c:v>90000</c:v>
                </c:pt>
                <c:pt idx="55">
                  <c:v>80000</c:v>
                </c:pt>
                <c:pt idx="56">
                  <c:v>77000</c:v>
                </c:pt>
                <c:pt idx="57">
                  <c:v>107000</c:v>
                </c:pt>
                <c:pt idx="58">
                  <c:v>126000</c:v>
                </c:pt>
                <c:pt idx="59">
                  <c:v>51000</c:v>
                </c:pt>
              </c:numCache>
            </c:numRef>
          </c:yVal>
          <c:smooth val="0"/>
          <c:extLst>
            <c:ext xmlns:c16="http://schemas.microsoft.com/office/drawing/2014/chart" uri="{C3380CC4-5D6E-409C-BE32-E72D297353CC}">
              <c16:uniqueId val="{00000000-1564-422A-995B-9C1C92DEA785}"/>
            </c:ext>
          </c:extLst>
        </c:ser>
        <c:dLbls>
          <c:showLegendKey val="0"/>
          <c:showVal val="0"/>
          <c:showCatName val="0"/>
          <c:showSerName val="0"/>
          <c:showPercent val="0"/>
          <c:showBubbleSize val="0"/>
        </c:dLbls>
        <c:axId val="1835287008"/>
        <c:axId val="1835287488"/>
      </c:scatterChart>
      <c:valAx>
        <c:axId val="1835287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Nongrad_median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287488"/>
        <c:crosses val="autoZero"/>
        <c:crossBetween val="midCat"/>
      </c:valAx>
      <c:valAx>
        <c:axId val="18352874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Grad_median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2870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Arial Black" panose="020B0A04020102020204" pitchFamily="34" charset="0"/>
              </a:rPr>
              <a:t>Female Share vs Salary</a:t>
            </a:r>
            <a:endParaRPr lang="en-IN">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Pivot_Tables!$E$213</c:f>
              <c:strCache>
                <c:ptCount val="1"/>
                <c:pt idx="0">
                  <c:v>Average of Median</c:v>
                </c:pt>
              </c:strCache>
            </c:strRef>
          </c:tx>
          <c:spPr>
            <a:ln w="19050" cap="rnd">
              <a:noFill/>
              <a:round/>
            </a:ln>
            <a:effectLst/>
          </c:spPr>
          <c:marker>
            <c:symbol val="circle"/>
            <c:size val="5"/>
            <c:spPr>
              <a:solidFill>
                <a:schemeClr val="accent1"/>
              </a:solidFill>
              <a:ln w="9525">
                <a:solidFill>
                  <a:schemeClr val="accent1"/>
                </a:solidFill>
              </a:ln>
              <a:effectLst/>
            </c:spPr>
          </c:marker>
          <c:xVal>
            <c:numRef>
              <c:f>Pivot_Tables!$D$214:$D$386</c:f>
              <c:numCache>
                <c:formatCode>General</c:formatCode>
                <c:ptCount val="173"/>
                <c:pt idx="0">
                  <c:v>0</c:v>
                </c:pt>
                <c:pt idx="1">
                  <c:v>7.7453026999999994E-2</c:v>
                </c:pt>
                <c:pt idx="2">
                  <c:v>9.0712508999999997E-2</c:v>
                </c:pt>
                <c:pt idx="3">
                  <c:v>0.10185185200000001</c:v>
                </c:pt>
                <c:pt idx="4">
                  <c:v>0.107313196</c:v>
                </c:pt>
                <c:pt idx="5">
                  <c:v>0.11955890299999999</c:v>
                </c:pt>
                <c:pt idx="6">
                  <c:v>0.120564344</c:v>
                </c:pt>
                <c:pt idx="7">
                  <c:v>0.12495049499999999</c:v>
                </c:pt>
                <c:pt idx="8">
                  <c:v>0.12503465499999999</c:v>
                </c:pt>
                <c:pt idx="9">
                  <c:v>0.13979280099999999</c:v>
                </c:pt>
                <c:pt idx="10">
                  <c:v>0.144966965</c:v>
                </c:pt>
                <c:pt idx="11">
                  <c:v>0.153037383</c:v>
                </c:pt>
                <c:pt idx="12">
                  <c:v>0.17412250500000001</c:v>
                </c:pt>
                <c:pt idx="13">
                  <c:v>0.17898193800000001</c:v>
                </c:pt>
                <c:pt idx="14">
                  <c:v>0.180882718</c:v>
                </c:pt>
                <c:pt idx="15">
                  <c:v>0.18398518899999999</c:v>
                </c:pt>
                <c:pt idx="16">
                  <c:v>0.18997043699999999</c:v>
                </c:pt>
                <c:pt idx="17">
                  <c:v>0.19645025599999999</c:v>
                </c:pt>
                <c:pt idx="18">
                  <c:v>0.199412643</c:v>
                </c:pt>
                <c:pt idx="19">
                  <c:v>0.20002271699999999</c:v>
                </c:pt>
                <c:pt idx="20">
                  <c:v>0.222695002</c:v>
                </c:pt>
                <c:pt idx="21">
                  <c:v>0.22711794299999999</c:v>
                </c:pt>
                <c:pt idx="22">
                  <c:v>0.23244353200000001</c:v>
                </c:pt>
                <c:pt idx="23">
                  <c:v>0.236062718</c:v>
                </c:pt>
                <c:pt idx="24">
                  <c:v>0.244103081</c:v>
                </c:pt>
                <c:pt idx="25">
                  <c:v>0.24919024000000001</c:v>
                </c:pt>
                <c:pt idx="26">
                  <c:v>0.251388889</c:v>
                </c:pt>
                <c:pt idx="27">
                  <c:v>0.25295983799999999</c:v>
                </c:pt>
                <c:pt idx="28">
                  <c:v>0.25358330200000001</c:v>
                </c:pt>
                <c:pt idx="29">
                  <c:v>0.26919385800000001</c:v>
                </c:pt>
                <c:pt idx="30">
                  <c:v>0.27879014600000002</c:v>
                </c:pt>
                <c:pt idx="31">
                  <c:v>0.281936407</c:v>
                </c:pt>
                <c:pt idx="32">
                  <c:v>0.28290282900000002</c:v>
                </c:pt>
                <c:pt idx="33">
                  <c:v>0.292607004</c:v>
                </c:pt>
                <c:pt idx="34">
                  <c:v>0.30500459699999999</c:v>
                </c:pt>
                <c:pt idx="35">
                  <c:v>0.30510948900000001</c:v>
                </c:pt>
                <c:pt idx="36">
                  <c:v>0.31082028499999997</c:v>
                </c:pt>
                <c:pt idx="37">
                  <c:v>0.32078431400000001</c:v>
                </c:pt>
                <c:pt idx="38">
                  <c:v>0.32129606700000002</c:v>
                </c:pt>
                <c:pt idx="39">
                  <c:v>0.32176966299999998</c:v>
                </c:pt>
                <c:pt idx="40">
                  <c:v>0.322222222</c:v>
                </c:pt>
                <c:pt idx="41">
                  <c:v>0.32483804999999999</c:v>
                </c:pt>
                <c:pt idx="42">
                  <c:v>0.32509188100000003</c:v>
                </c:pt>
                <c:pt idx="43">
                  <c:v>0.33967098200000001</c:v>
                </c:pt>
                <c:pt idx="44">
                  <c:v>0.34082495699999998</c:v>
                </c:pt>
                <c:pt idx="45">
                  <c:v>0.341630502</c:v>
                </c:pt>
                <c:pt idx="46">
                  <c:v>0.34222881100000002</c:v>
                </c:pt>
                <c:pt idx="47">
                  <c:v>0.34347321800000002</c:v>
                </c:pt>
                <c:pt idx="48">
                  <c:v>0.350442478</c:v>
                </c:pt>
                <c:pt idx="49">
                  <c:v>0.35546905899999998</c:v>
                </c:pt>
                <c:pt idx="50">
                  <c:v>0.36617687799999998</c:v>
                </c:pt>
                <c:pt idx="51">
                  <c:v>0.37435562300000003</c:v>
                </c:pt>
                <c:pt idx="52">
                  <c:v>0.37743732600000002</c:v>
                </c:pt>
                <c:pt idx="53">
                  <c:v>0.38290043299999998</c:v>
                </c:pt>
                <c:pt idx="54">
                  <c:v>0.38371900599999997</c:v>
                </c:pt>
                <c:pt idx="55">
                  <c:v>0.41017964099999998</c:v>
                </c:pt>
                <c:pt idx="56">
                  <c:v>0.41680957400000002</c:v>
                </c:pt>
                <c:pt idx="57">
                  <c:v>0.41792479999999999</c:v>
                </c:pt>
                <c:pt idx="58">
                  <c:v>0.423208896</c:v>
                </c:pt>
                <c:pt idx="59">
                  <c:v>0.42692372000000001</c:v>
                </c:pt>
                <c:pt idx="60">
                  <c:v>0.42968496299999998</c:v>
                </c:pt>
                <c:pt idx="61">
                  <c:v>0.43053676099999999</c:v>
                </c:pt>
                <c:pt idx="62">
                  <c:v>0.43429844099999998</c:v>
                </c:pt>
                <c:pt idx="63">
                  <c:v>0.43630163300000002</c:v>
                </c:pt>
                <c:pt idx="64">
                  <c:v>0.437846874</c:v>
                </c:pt>
                <c:pt idx="65">
                  <c:v>0.441355573</c:v>
                </c:pt>
                <c:pt idx="66">
                  <c:v>0.44458228500000002</c:v>
                </c:pt>
                <c:pt idx="67">
                  <c:v>0.44809867799999997</c:v>
                </c:pt>
                <c:pt idx="68">
                  <c:v>0.448732309</c:v>
                </c:pt>
                <c:pt idx="69">
                  <c:v>0.45146488600000001</c:v>
                </c:pt>
                <c:pt idx="70">
                  <c:v>0.47019686500000002</c:v>
                </c:pt>
                <c:pt idx="71">
                  <c:v>0.47318952399999997</c:v>
                </c:pt>
                <c:pt idx="72">
                  <c:v>0.47501047000000002</c:v>
                </c:pt>
                <c:pt idx="73">
                  <c:v>0.47646118300000001</c:v>
                </c:pt>
                <c:pt idx="74">
                  <c:v>0.48592987700000001</c:v>
                </c:pt>
                <c:pt idx="75">
                  <c:v>0.49539715299999998</c:v>
                </c:pt>
                <c:pt idx="76">
                  <c:v>0.50284631499999999</c:v>
                </c:pt>
                <c:pt idx="77">
                  <c:v>0.50514053800000003</c:v>
                </c:pt>
                <c:pt idx="78">
                  <c:v>0.50672076300000002</c:v>
                </c:pt>
                <c:pt idx="79">
                  <c:v>0.50737696799999998</c:v>
                </c:pt>
                <c:pt idx="80">
                  <c:v>0.51540644899999999</c:v>
                </c:pt>
                <c:pt idx="81">
                  <c:v>0.51554332899999999</c:v>
                </c:pt>
                <c:pt idx="82">
                  <c:v>0.52415258300000001</c:v>
                </c:pt>
                <c:pt idx="83">
                  <c:v>0.52647576399999996</c:v>
                </c:pt>
                <c:pt idx="84">
                  <c:v>0.52896915</c:v>
                </c:pt>
                <c:pt idx="85">
                  <c:v>0.53233378799999997</c:v>
                </c:pt>
                <c:pt idx="86">
                  <c:v>0.53571428600000004</c:v>
                </c:pt>
                <c:pt idx="87">
                  <c:v>0.54340542199999997</c:v>
                </c:pt>
                <c:pt idx="88">
                  <c:v>0.55660377400000005</c:v>
                </c:pt>
                <c:pt idx="89">
                  <c:v>0.55854800900000001</c:v>
                </c:pt>
                <c:pt idx="90">
                  <c:v>0.56463933499999996</c:v>
                </c:pt>
                <c:pt idx="91">
                  <c:v>0.56486557000000004</c:v>
                </c:pt>
                <c:pt idx="92">
                  <c:v>0.56664050200000005</c:v>
                </c:pt>
                <c:pt idx="93">
                  <c:v>0.57636006100000003</c:v>
                </c:pt>
                <c:pt idx="94">
                  <c:v>0.57876633799999999</c:v>
                </c:pt>
                <c:pt idx="95">
                  <c:v>0.58094800400000002</c:v>
                </c:pt>
                <c:pt idx="96">
                  <c:v>0.58455613299999998</c:v>
                </c:pt>
                <c:pt idx="97">
                  <c:v>0.584776403</c:v>
                </c:pt>
                <c:pt idx="98">
                  <c:v>0.58971190200000001</c:v>
                </c:pt>
                <c:pt idx="99">
                  <c:v>0.59100101100000002</c:v>
                </c:pt>
                <c:pt idx="100">
                  <c:v>0.59420764999999998</c:v>
                </c:pt>
                <c:pt idx="101">
                  <c:v>0.60175182500000002</c:v>
                </c:pt>
                <c:pt idx="102">
                  <c:v>0.60185815200000004</c:v>
                </c:pt>
                <c:pt idx="103">
                  <c:v>0.606888545</c:v>
                </c:pt>
                <c:pt idx="104">
                  <c:v>0.61572722700000004</c:v>
                </c:pt>
                <c:pt idx="105">
                  <c:v>0.61822302799999995</c:v>
                </c:pt>
                <c:pt idx="106">
                  <c:v>0.62950456399999999</c:v>
                </c:pt>
                <c:pt idx="107">
                  <c:v>0.63071631800000005</c:v>
                </c:pt>
                <c:pt idx="108">
                  <c:v>0.632986838</c:v>
                </c:pt>
                <c:pt idx="109">
                  <c:v>0.63729337600000002</c:v>
                </c:pt>
                <c:pt idx="110">
                  <c:v>0.63814682</c:v>
                </c:pt>
                <c:pt idx="111">
                  <c:v>0.64</c:v>
                </c:pt>
                <c:pt idx="112">
                  <c:v>0.64333112100000001</c:v>
                </c:pt>
                <c:pt idx="113">
                  <c:v>0.65165990799999995</c:v>
                </c:pt>
                <c:pt idx="114">
                  <c:v>0.65174129400000003</c:v>
                </c:pt>
                <c:pt idx="115">
                  <c:v>0.65212981699999995</c:v>
                </c:pt>
                <c:pt idx="116">
                  <c:v>0.666119448</c:v>
                </c:pt>
                <c:pt idx="117">
                  <c:v>0.66703385299999995</c:v>
                </c:pt>
                <c:pt idx="118">
                  <c:v>0.66999850500000002</c:v>
                </c:pt>
                <c:pt idx="119">
                  <c:v>0.67216144300000003</c:v>
                </c:pt>
                <c:pt idx="120">
                  <c:v>0.67314339199999995</c:v>
                </c:pt>
                <c:pt idx="121">
                  <c:v>0.68394261899999997</c:v>
                </c:pt>
                <c:pt idx="122">
                  <c:v>0.68602439999999998</c:v>
                </c:pt>
                <c:pt idx="123">
                  <c:v>0.68699295199999999</c:v>
                </c:pt>
                <c:pt idx="124">
                  <c:v>0.68899917300000002</c:v>
                </c:pt>
                <c:pt idx="125">
                  <c:v>0.69011067500000001</c:v>
                </c:pt>
                <c:pt idx="126">
                  <c:v>0.69036528799999997</c:v>
                </c:pt>
                <c:pt idx="127">
                  <c:v>0.69738424499999996</c:v>
                </c:pt>
                <c:pt idx="128">
                  <c:v>0.70089842999999996</c:v>
                </c:pt>
                <c:pt idx="129">
                  <c:v>0.70202020200000004</c:v>
                </c:pt>
                <c:pt idx="130">
                  <c:v>0.70713623699999995</c:v>
                </c:pt>
                <c:pt idx="131">
                  <c:v>0.70771850199999997</c:v>
                </c:pt>
                <c:pt idx="132">
                  <c:v>0.71836476599999999</c:v>
                </c:pt>
                <c:pt idx="133">
                  <c:v>0.71985895200000005</c:v>
                </c:pt>
                <c:pt idx="134">
                  <c:v>0.71997408299999999</c:v>
                </c:pt>
                <c:pt idx="135">
                  <c:v>0.72186591300000003</c:v>
                </c:pt>
                <c:pt idx="136">
                  <c:v>0.72803259099999995</c:v>
                </c:pt>
                <c:pt idx="137">
                  <c:v>0.72849462399999998</c:v>
                </c:pt>
                <c:pt idx="138">
                  <c:v>0.73396758299999998</c:v>
                </c:pt>
                <c:pt idx="139">
                  <c:v>0.73399192800000002</c:v>
                </c:pt>
                <c:pt idx="140">
                  <c:v>0.74566153800000001</c:v>
                </c:pt>
                <c:pt idx="141">
                  <c:v>0.74756092600000001</c:v>
                </c:pt>
                <c:pt idx="142">
                  <c:v>0.75047258999999999</c:v>
                </c:pt>
                <c:pt idx="143">
                  <c:v>0.75214388399999998</c:v>
                </c:pt>
                <c:pt idx="144">
                  <c:v>0.75392736000000005</c:v>
                </c:pt>
                <c:pt idx="145">
                  <c:v>0.75806026900000001</c:v>
                </c:pt>
                <c:pt idx="146">
                  <c:v>0.76432029000000001</c:v>
                </c:pt>
                <c:pt idx="147">
                  <c:v>0.76442652799999999</c:v>
                </c:pt>
                <c:pt idx="148">
                  <c:v>0.77090110599999995</c:v>
                </c:pt>
                <c:pt idx="149">
                  <c:v>0.77457662400000005</c:v>
                </c:pt>
                <c:pt idx="150">
                  <c:v>0.77993320399999999</c:v>
                </c:pt>
                <c:pt idx="151">
                  <c:v>0.79209526200000002</c:v>
                </c:pt>
                <c:pt idx="152">
                  <c:v>0.79874621700000004</c:v>
                </c:pt>
                <c:pt idx="153">
                  <c:v>0.79891981700000003</c:v>
                </c:pt>
                <c:pt idx="154">
                  <c:v>0.79985905599999996</c:v>
                </c:pt>
                <c:pt idx="155">
                  <c:v>0.81070414700000004</c:v>
                </c:pt>
                <c:pt idx="156">
                  <c:v>0.812876606</c:v>
                </c:pt>
                <c:pt idx="157">
                  <c:v>0.81709880899999998</c:v>
                </c:pt>
                <c:pt idx="158">
                  <c:v>0.84593437900000001</c:v>
                </c:pt>
                <c:pt idx="159">
                  <c:v>0.85452322700000005</c:v>
                </c:pt>
                <c:pt idx="160">
                  <c:v>0.86445607899999999</c:v>
                </c:pt>
                <c:pt idx="161">
                  <c:v>0.87722752800000003</c:v>
                </c:pt>
                <c:pt idx="162">
                  <c:v>0.87795992700000003</c:v>
                </c:pt>
                <c:pt idx="163">
                  <c:v>0.88129388900000005</c:v>
                </c:pt>
                <c:pt idx="164">
                  <c:v>0.89601898800000002</c:v>
                </c:pt>
                <c:pt idx="165">
                  <c:v>0.90407454399999998</c:v>
                </c:pt>
                <c:pt idx="166">
                  <c:v>0.90558992999999999</c:v>
                </c:pt>
                <c:pt idx="167">
                  <c:v>0.90667733699999997</c:v>
                </c:pt>
                <c:pt idx="168">
                  <c:v>0.91093257000000005</c:v>
                </c:pt>
                <c:pt idx="169">
                  <c:v>0.92374547900000004</c:v>
                </c:pt>
                <c:pt idx="170">
                  <c:v>0.92780724599999997</c:v>
                </c:pt>
                <c:pt idx="171">
                  <c:v>0.96799811899999999</c:v>
                </c:pt>
                <c:pt idx="172">
                  <c:v>0.96895368299999995</c:v>
                </c:pt>
              </c:numCache>
            </c:numRef>
          </c:xVal>
          <c:yVal>
            <c:numRef>
              <c:f>Pivot_Tables!$E$214:$E$386</c:f>
              <c:numCache>
                <c:formatCode>General</c:formatCode>
                <c:ptCount val="173"/>
                <c:pt idx="0">
                  <c:v>63000</c:v>
                </c:pt>
                <c:pt idx="1">
                  <c:v>45000</c:v>
                </c:pt>
                <c:pt idx="2">
                  <c:v>63000</c:v>
                </c:pt>
                <c:pt idx="3">
                  <c:v>92000</c:v>
                </c:pt>
                <c:pt idx="4">
                  <c:v>97000</c:v>
                </c:pt>
                <c:pt idx="5">
                  <c:v>65000</c:v>
                </c:pt>
                <c:pt idx="6">
                  <c:v>125000</c:v>
                </c:pt>
                <c:pt idx="7">
                  <c:v>60000</c:v>
                </c:pt>
                <c:pt idx="8">
                  <c:v>50000</c:v>
                </c:pt>
                <c:pt idx="9">
                  <c:v>80000</c:v>
                </c:pt>
                <c:pt idx="10">
                  <c:v>95000</c:v>
                </c:pt>
                <c:pt idx="11">
                  <c:v>96000</c:v>
                </c:pt>
                <c:pt idx="12">
                  <c:v>74000</c:v>
                </c:pt>
                <c:pt idx="13">
                  <c:v>55000</c:v>
                </c:pt>
                <c:pt idx="14">
                  <c:v>55000</c:v>
                </c:pt>
                <c:pt idx="15">
                  <c:v>65000</c:v>
                </c:pt>
                <c:pt idx="16">
                  <c:v>70000</c:v>
                </c:pt>
                <c:pt idx="17">
                  <c:v>80000</c:v>
                </c:pt>
                <c:pt idx="18">
                  <c:v>80000</c:v>
                </c:pt>
                <c:pt idx="19">
                  <c:v>53000</c:v>
                </c:pt>
                <c:pt idx="20">
                  <c:v>62000</c:v>
                </c:pt>
                <c:pt idx="21">
                  <c:v>78000</c:v>
                </c:pt>
                <c:pt idx="22">
                  <c:v>48000</c:v>
                </c:pt>
                <c:pt idx="23">
                  <c:v>50000</c:v>
                </c:pt>
                <c:pt idx="24">
                  <c:v>66000</c:v>
                </c:pt>
                <c:pt idx="25">
                  <c:v>65000</c:v>
                </c:pt>
                <c:pt idx="26">
                  <c:v>60000</c:v>
                </c:pt>
                <c:pt idx="27">
                  <c:v>75000</c:v>
                </c:pt>
                <c:pt idx="28">
                  <c:v>65000</c:v>
                </c:pt>
                <c:pt idx="29">
                  <c:v>60000</c:v>
                </c:pt>
                <c:pt idx="30">
                  <c:v>72000</c:v>
                </c:pt>
                <c:pt idx="31">
                  <c:v>70000</c:v>
                </c:pt>
                <c:pt idx="32">
                  <c:v>54000</c:v>
                </c:pt>
                <c:pt idx="33">
                  <c:v>78000</c:v>
                </c:pt>
                <c:pt idx="34">
                  <c:v>55000</c:v>
                </c:pt>
                <c:pt idx="35">
                  <c:v>50000</c:v>
                </c:pt>
                <c:pt idx="36">
                  <c:v>75000</c:v>
                </c:pt>
                <c:pt idx="37">
                  <c:v>62000</c:v>
                </c:pt>
                <c:pt idx="38">
                  <c:v>67000</c:v>
                </c:pt>
                <c:pt idx="39">
                  <c:v>63000</c:v>
                </c:pt>
                <c:pt idx="40">
                  <c:v>65000</c:v>
                </c:pt>
                <c:pt idx="41">
                  <c:v>85000</c:v>
                </c:pt>
                <c:pt idx="42">
                  <c:v>67000</c:v>
                </c:pt>
                <c:pt idx="43">
                  <c:v>50000</c:v>
                </c:pt>
                <c:pt idx="44">
                  <c:v>69000</c:v>
                </c:pt>
                <c:pt idx="45">
                  <c:v>86000</c:v>
                </c:pt>
                <c:pt idx="46">
                  <c:v>65000</c:v>
                </c:pt>
                <c:pt idx="47">
                  <c:v>75000</c:v>
                </c:pt>
                <c:pt idx="48">
                  <c:v>78000</c:v>
                </c:pt>
                <c:pt idx="49">
                  <c:v>65000</c:v>
                </c:pt>
                <c:pt idx="50">
                  <c:v>42000</c:v>
                </c:pt>
                <c:pt idx="51">
                  <c:v>46600</c:v>
                </c:pt>
                <c:pt idx="52">
                  <c:v>60000</c:v>
                </c:pt>
                <c:pt idx="53">
                  <c:v>56000</c:v>
                </c:pt>
                <c:pt idx="54">
                  <c:v>40000</c:v>
                </c:pt>
                <c:pt idx="55">
                  <c:v>45000</c:v>
                </c:pt>
                <c:pt idx="56">
                  <c:v>45000</c:v>
                </c:pt>
                <c:pt idx="57">
                  <c:v>60000</c:v>
                </c:pt>
                <c:pt idx="58">
                  <c:v>46000</c:v>
                </c:pt>
                <c:pt idx="59">
                  <c:v>60000</c:v>
                </c:pt>
                <c:pt idx="60">
                  <c:v>64000</c:v>
                </c:pt>
                <c:pt idx="61">
                  <c:v>62000</c:v>
                </c:pt>
                <c:pt idx="62">
                  <c:v>60000</c:v>
                </c:pt>
                <c:pt idx="63">
                  <c:v>62000</c:v>
                </c:pt>
                <c:pt idx="64">
                  <c:v>88000</c:v>
                </c:pt>
                <c:pt idx="65">
                  <c:v>80000</c:v>
                </c:pt>
                <c:pt idx="66">
                  <c:v>45000</c:v>
                </c:pt>
                <c:pt idx="67">
                  <c:v>70000</c:v>
                </c:pt>
                <c:pt idx="68">
                  <c:v>58000</c:v>
                </c:pt>
                <c:pt idx="69">
                  <c:v>106000</c:v>
                </c:pt>
                <c:pt idx="70">
                  <c:v>65000</c:v>
                </c:pt>
                <c:pt idx="71">
                  <c:v>54000</c:v>
                </c:pt>
                <c:pt idx="72">
                  <c:v>35000</c:v>
                </c:pt>
                <c:pt idx="73">
                  <c:v>56000</c:v>
                </c:pt>
                <c:pt idx="74">
                  <c:v>58000</c:v>
                </c:pt>
                <c:pt idx="75">
                  <c:v>43000</c:v>
                </c:pt>
                <c:pt idx="76">
                  <c:v>50000</c:v>
                </c:pt>
                <c:pt idx="77">
                  <c:v>59000</c:v>
                </c:pt>
                <c:pt idx="78">
                  <c:v>48400</c:v>
                </c:pt>
                <c:pt idx="79">
                  <c:v>45000</c:v>
                </c:pt>
                <c:pt idx="80">
                  <c:v>53000</c:v>
                </c:pt>
                <c:pt idx="81">
                  <c:v>50000</c:v>
                </c:pt>
                <c:pt idx="82">
                  <c:v>60000</c:v>
                </c:pt>
                <c:pt idx="83">
                  <c:v>68000</c:v>
                </c:pt>
                <c:pt idx="84">
                  <c:v>50000</c:v>
                </c:pt>
                <c:pt idx="85">
                  <c:v>47000</c:v>
                </c:pt>
                <c:pt idx="86">
                  <c:v>72000</c:v>
                </c:pt>
                <c:pt idx="87">
                  <c:v>52000</c:v>
                </c:pt>
                <c:pt idx="88">
                  <c:v>50000</c:v>
                </c:pt>
                <c:pt idx="89">
                  <c:v>70000</c:v>
                </c:pt>
                <c:pt idx="90">
                  <c:v>52000</c:v>
                </c:pt>
                <c:pt idx="91">
                  <c:v>41000</c:v>
                </c:pt>
                <c:pt idx="92">
                  <c:v>52000</c:v>
                </c:pt>
                <c:pt idx="93">
                  <c:v>42000</c:v>
                </c:pt>
                <c:pt idx="94">
                  <c:v>78000</c:v>
                </c:pt>
                <c:pt idx="95">
                  <c:v>58000</c:v>
                </c:pt>
                <c:pt idx="96">
                  <c:v>52000</c:v>
                </c:pt>
                <c:pt idx="97">
                  <c:v>37600</c:v>
                </c:pt>
                <c:pt idx="98">
                  <c:v>63000</c:v>
                </c:pt>
                <c:pt idx="99">
                  <c:v>48000</c:v>
                </c:pt>
                <c:pt idx="100">
                  <c:v>54000</c:v>
                </c:pt>
                <c:pt idx="101">
                  <c:v>45000</c:v>
                </c:pt>
                <c:pt idx="102">
                  <c:v>51000</c:v>
                </c:pt>
                <c:pt idx="103">
                  <c:v>50000</c:v>
                </c:pt>
                <c:pt idx="104">
                  <c:v>60000</c:v>
                </c:pt>
                <c:pt idx="105">
                  <c:v>49000</c:v>
                </c:pt>
                <c:pt idx="106">
                  <c:v>42000</c:v>
                </c:pt>
                <c:pt idx="107">
                  <c:v>50000</c:v>
                </c:pt>
                <c:pt idx="108">
                  <c:v>55000</c:v>
                </c:pt>
                <c:pt idx="109">
                  <c:v>55000</c:v>
                </c:pt>
                <c:pt idx="110">
                  <c:v>49500</c:v>
                </c:pt>
                <c:pt idx="111">
                  <c:v>61000</c:v>
                </c:pt>
                <c:pt idx="112">
                  <c:v>48000</c:v>
                </c:pt>
                <c:pt idx="113">
                  <c:v>47500</c:v>
                </c:pt>
                <c:pt idx="114">
                  <c:v>50000</c:v>
                </c:pt>
                <c:pt idx="115">
                  <c:v>47000</c:v>
                </c:pt>
                <c:pt idx="116">
                  <c:v>40000</c:v>
                </c:pt>
                <c:pt idx="117">
                  <c:v>45000</c:v>
                </c:pt>
                <c:pt idx="118">
                  <c:v>56000</c:v>
                </c:pt>
                <c:pt idx="119">
                  <c:v>54000</c:v>
                </c:pt>
                <c:pt idx="120">
                  <c:v>50000</c:v>
                </c:pt>
                <c:pt idx="121">
                  <c:v>44000</c:v>
                </c:pt>
                <c:pt idx="122">
                  <c:v>42600</c:v>
                </c:pt>
                <c:pt idx="123">
                  <c:v>47000</c:v>
                </c:pt>
                <c:pt idx="124">
                  <c:v>55000</c:v>
                </c:pt>
                <c:pt idx="125">
                  <c:v>45000</c:v>
                </c:pt>
                <c:pt idx="126">
                  <c:v>58000</c:v>
                </c:pt>
                <c:pt idx="127">
                  <c:v>40000</c:v>
                </c:pt>
                <c:pt idx="128">
                  <c:v>50000</c:v>
                </c:pt>
                <c:pt idx="129">
                  <c:v>45000</c:v>
                </c:pt>
                <c:pt idx="130">
                  <c:v>42000</c:v>
                </c:pt>
                <c:pt idx="131">
                  <c:v>65000</c:v>
                </c:pt>
                <c:pt idx="132">
                  <c:v>50000</c:v>
                </c:pt>
                <c:pt idx="133">
                  <c:v>50000</c:v>
                </c:pt>
                <c:pt idx="134">
                  <c:v>52000</c:v>
                </c:pt>
                <c:pt idx="135">
                  <c:v>45000</c:v>
                </c:pt>
                <c:pt idx="136">
                  <c:v>48000</c:v>
                </c:pt>
                <c:pt idx="137">
                  <c:v>40000</c:v>
                </c:pt>
                <c:pt idx="138">
                  <c:v>45000</c:v>
                </c:pt>
                <c:pt idx="139">
                  <c:v>49000</c:v>
                </c:pt>
                <c:pt idx="140">
                  <c:v>46700</c:v>
                </c:pt>
                <c:pt idx="141">
                  <c:v>47000</c:v>
                </c:pt>
                <c:pt idx="142">
                  <c:v>70000</c:v>
                </c:pt>
                <c:pt idx="143">
                  <c:v>40500</c:v>
                </c:pt>
                <c:pt idx="144">
                  <c:v>70000</c:v>
                </c:pt>
                <c:pt idx="145">
                  <c:v>46000</c:v>
                </c:pt>
                <c:pt idx="146">
                  <c:v>48000</c:v>
                </c:pt>
                <c:pt idx="147">
                  <c:v>63000</c:v>
                </c:pt>
                <c:pt idx="148">
                  <c:v>50000</c:v>
                </c:pt>
                <c:pt idx="149">
                  <c:v>50000</c:v>
                </c:pt>
                <c:pt idx="150">
                  <c:v>45000</c:v>
                </c:pt>
                <c:pt idx="151">
                  <c:v>43000</c:v>
                </c:pt>
                <c:pt idx="152">
                  <c:v>39000</c:v>
                </c:pt>
                <c:pt idx="153">
                  <c:v>40000</c:v>
                </c:pt>
                <c:pt idx="154">
                  <c:v>45000</c:v>
                </c:pt>
                <c:pt idx="155">
                  <c:v>40000</c:v>
                </c:pt>
                <c:pt idx="156">
                  <c:v>43000</c:v>
                </c:pt>
                <c:pt idx="157">
                  <c:v>40000</c:v>
                </c:pt>
                <c:pt idx="158">
                  <c:v>44500</c:v>
                </c:pt>
                <c:pt idx="159">
                  <c:v>53000</c:v>
                </c:pt>
                <c:pt idx="160">
                  <c:v>50000</c:v>
                </c:pt>
                <c:pt idx="161">
                  <c:v>48000</c:v>
                </c:pt>
                <c:pt idx="162">
                  <c:v>40000</c:v>
                </c:pt>
                <c:pt idx="163">
                  <c:v>57000</c:v>
                </c:pt>
                <c:pt idx="164">
                  <c:v>62000</c:v>
                </c:pt>
                <c:pt idx="165">
                  <c:v>38000</c:v>
                </c:pt>
                <c:pt idx="166">
                  <c:v>45000</c:v>
                </c:pt>
                <c:pt idx="167">
                  <c:v>50000</c:v>
                </c:pt>
                <c:pt idx="168">
                  <c:v>46000</c:v>
                </c:pt>
                <c:pt idx="169">
                  <c:v>40000</c:v>
                </c:pt>
                <c:pt idx="170">
                  <c:v>92000</c:v>
                </c:pt>
                <c:pt idx="171">
                  <c:v>35300</c:v>
                </c:pt>
                <c:pt idx="172">
                  <c:v>43000</c:v>
                </c:pt>
              </c:numCache>
            </c:numRef>
          </c:yVal>
          <c:smooth val="0"/>
          <c:extLst>
            <c:ext xmlns:c16="http://schemas.microsoft.com/office/drawing/2014/chart" uri="{C3380CC4-5D6E-409C-BE32-E72D297353CC}">
              <c16:uniqueId val="{00000000-D43C-4068-B1CB-9A4DC83F27A1}"/>
            </c:ext>
          </c:extLst>
        </c:ser>
        <c:dLbls>
          <c:showLegendKey val="0"/>
          <c:showVal val="0"/>
          <c:showCatName val="0"/>
          <c:showSerName val="0"/>
          <c:showPercent val="0"/>
          <c:showBubbleSize val="0"/>
        </c:dLbls>
        <c:axId val="1582558256"/>
        <c:axId val="1576375376"/>
      </c:scatterChart>
      <c:valAx>
        <c:axId val="1582558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ShareWomen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75376"/>
        <c:crosses val="autoZero"/>
        <c:crossBetween val="midCat"/>
      </c:valAx>
      <c:valAx>
        <c:axId val="1576375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582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167639</xdr:colOff>
      <xdr:row>8</xdr:row>
      <xdr:rowOff>7620</xdr:rowOff>
    </xdr:from>
    <xdr:to>
      <xdr:col>7</xdr:col>
      <xdr:colOff>519952</xdr:colOff>
      <xdr:row>21</xdr:row>
      <xdr:rowOff>53340</xdr:rowOff>
    </xdr:to>
    <xdr:graphicFrame macro="">
      <xdr:nvGraphicFramePr>
        <xdr:cNvPr id="2" name="Chart 1">
          <a:extLst>
            <a:ext uri="{FF2B5EF4-FFF2-40B4-BE49-F238E27FC236}">
              <a16:creationId xmlns:a16="http://schemas.microsoft.com/office/drawing/2014/main" id="{91A12842-0849-4156-AC84-2DAAC7DEB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62753</xdr:colOff>
      <xdr:row>8</xdr:row>
      <xdr:rowOff>11974</xdr:rowOff>
    </xdr:from>
    <xdr:to>
      <xdr:col>15</xdr:col>
      <xdr:colOff>672353</xdr:colOff>
      <xdr:row>21</xdr:row>
      <xdr:rowOff>75111</xdr:rowOff>
    </xdr:to>
    <xdr:graphicFrame macro="">
      <xdr:nvGraphicFramePr>
        <xdr:cNvPr id="3" name="Chart 2">
          <a:extLst>
            <a:ext uri="{FF2B5EF4-FFF2-40B4-BE49-F238E27FC236}">
              <a16:creationId xmlns:a16="http://schemas.microsoft.com/office/drawing/2014/main" id="{AEC67268-F07E-423C-926A-46B28E8E1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53788</xdr:colOff>
      <xdr:row>7</xdr:row>
      <xdr:rowOff>174171</xdr:rowOff>
    </xdr:from>
    <xdr:to>
      <xdr:col>24</xdr:col>
      <xdr:colOff>0</xdr:colOff>
      <xdr:row>21</xdr:row>
      <xdr:rowOff>54428</xdr:rowOff>
    </xdr:to>
    <xdr:graphicFrame macro="">
      <xdr:nvGraphicFramePr>
        <xdr:cNvPr id="4" name="Chart 3">
          <a:extLst>
            <a:ext uri="{FF2B5EF4-FFF2-40B4-BE49-F238E27FC236}">
              <a16:creationId xmlns:a16="http://schemas.microsoft.com/office/drawing/2014/main" id="{79A1FC08-81C0-484C-8429-FC4C75286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141514</xdr:colOff>
      <xdr:row>21</xdr:row>
      <xdr:rowOff>165265</xdr:rowOff>
    </xdr:from>
    <xdr:to>
      <xdr:col>12</xdr:col>
      <xdr:colOff>293914</xdr:colOff>
      <xdr:row>36</xdr:row>
      <xdr:rowOff>132607</xdr:rowOff>
    </xdr:to>
    <xdr:graphicFrame macro="">
      <xdr:nvGraphicFramePr>
        <xdr:cNvPr id="5" name="Chart 4">
          <a:extLst>
            <a:ext uri="{FF2B5EF4-FFF2-40B4-BE49-F238E27FC236}">
              <a16:creationId xmlns:a16="http://schemas.microsoft.com/office/drawing/2014/main" id="{5994C975-9085-4001-B891-A37A4E8AD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511629</xdr:colOff>
      <xdr:row>21</xdr:row>
      <xdr:rowOff>174172</xdr:rowOff>
    </xdr:from>
    <xdr:to>
      <xdr:col>23</xdr:col>
      <xdr:colOff>609599</xdr:colOff>
      <xdr:row>36</xdr:row>
      <xdr:rowOff>141515</xdr:rowOff>
    </xdr:to>
    <xdr:graphicFrame macro="">
      <xdr:nvGraphicFramePr>
        <xdr:cNvPr id="6" name="Chart 5">
          <a:extLst>
            <a:ext uri="{FF2B5EF4-FFF2-40B4-BE49-F238E27FC236}">
              <a16:creationId xmlns:a16="http://schemas.microsoft.com/office/drawing/2014/main" id="{7FB4C3CD-CC21-4883-9DF8-DB410DE65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138546</xdr:colOff>
      <xdr:row>37</xdr:row>
      <xdr:rowOff>152399</xdr:rowOff>
    </xdr:from>
    <xdr:to>
      <xdr:col>12</xdr:col>
      <xdr:colOff>290945</xdr:colOff>
      <xdr:row>54</xdr:row>
      <xdr:rowOff>13854</xdr:rowOff>
    </xdr:to>
    <xdr:graphicFrame macro="">
      <xdr:nvGraphicFramePr>
        <xdr:cNvPr id="7" name="Chart 6">
          <a:extLst>
            <a:ext uri="{FF2B5EF4-FFF2-40B4-BE49-F238E27FC236}">
              <a16:creationId xmlns:a16="http://schemas.microsoft.com/office/drawing/2014/main" id="{484F48E7-C82A-48E9-8473-B35FC3C7C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495300</xdr:colOff>
      <xdr:row>37</xdr:row>
      <xdr:rowOff>171450</xdr:rowOff>
    </xdr:from>
    <xdr:to>
      <xdr:col>24</xdr:col>
      <xdr:colOff>0</xdr:colOff>
      <xdr:row>54</xdr:row>
      <xdr:rowOff>38100</xdr:rowOff>
    </xdr:to>
    <xdr:graphicFrame macro="">
      <xdr:nvGraphicFramePr>
        <xdr:cNvPr id="8" name="Chart 7">
          <a:extLst>
            <a:ext uri="{FF2B5EF4-FFF2-40B4-BE49-F238E27FC236}">
              <a16:creationId xmlns:a16="http://schemas.microsoft.com/office/drawing/2014/main" id="{ABC957A9-6869-4867-BA71-6DC31B840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160020</xdr:colOff>
      <xdr:row>55</xdr:row>
      <xdr:rowOff>7620</xdr:rowOff>
    </xdr:from>
    <xdr:to>
      <xdr:col>12</xdr:col>
      <xdr:colOff>312420</xdr:colOff>
      <xdr:row>71</xdr:row>
      <xdr:rowOff>106680</xdr:rowOff>
    </xdr:to>
    <xdr:graphicFrame macro="">
      <xdr:nvGraphicFramePr>
        <xdr:cNvPr id="9" name="Chart 8">
          <a:extLst>
            <a:ext uri="{FF2B5EF4-FFF2-40B4-BE49-F238E27FC236}">
              <a16:creationId xmlns:a16="http://schemas.microsoft.com/office/drawing/2014/main" id="{C797AF23-EA75-49B9-A32C-AFCFB034B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487680</xdr:colOff>
      <xdr:row>55</xdr:row>
      <xdr:rowOff>7620</xdr:rowOff>
    </xdr:from>
    <xdr:to>
      <xdr:col>24</xdr:col>
      <xdr:colOff>7620</xdr:colOff>
      <xdr:row>71</xdr:row>
      <xdr:rowOff>114300</xdr:rowOff>
    </xdr:to>
    <xdr:graphicFrame macro="">
      <xdr:nvGraphicFramePr>
        <xdr:cNvPr id="10" name="Chart 9">
          <a:extLst>
            <a:ext uri="{FF2B5EF4-FFF2-40B4-BE49-F238E27FC236}">
              <a16:creationId xmlns:a16="http://schemas.microsoft.com/office/drawing/2014/main" id="{BB207160-B6A3-4368-AF50-18E0AE756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69272</xdr:colOff>
      <xdr:row>72</xdr:row>
      <xdr:rowOff>152401</xdr:rowOff>
    </xdr:from>
    <xdr:to>
      <xdr:col>4</xdr:col>
      <xdr:colOff>63730</xdr:colOff>
      <xdr:row>86</xdr:row>
      <xdr:rowOff>59057</xdr:rowOff>
    </xdr:to>
    <mc:AlternateContent xmlns:mc="http://schemas.openxmlformats.org/markup-compatibility/2006" xmlns:a14="http://schemas.microsoft.com/office/drawing/2010/main">
      <mc:Choice Requires="a14">
        <xdr:graphicFrame macro="">
          <xdr:nvGraphicFramePr>
            <xdr:cNvPr id="11" name="salary_spread">
              <a:extLst>
                <a:ext uri="{FF2B5EF4-FFF2-40B4-BE49-F238E27FC236}">
                  <a16:creationId xmlns:a16="http://schemas.microsoft.com/office/drawing/2014/main" id="{8A36EFF3-8387-46B0-A386-39855CA7CFAE}"/>
                </a:ext>
              </a:extLst>
            </xdr:cNvPr>
            <xdr:cNvGraphicFramePr/>
          </xdr:nvGraphicFramePr>
          <xdr:xfrm>
            <a:off x="0" y="0"/>
            <a:ext cx="0" cy="0"/>
          </xdr:xfrm>
          <a:graphic>
            <a:graphicData uri="http://schemas.microsoft.com/office/drawing/2010/slicer">
              <sle:slicer xmlns:sle="http://schemas.microsoft.com/office/drawing/2010/slicer" name="salary_spread"/>
            </a:graphicData>
          </a:graphic>
        </xdr:graphicFrame>
      </mc:Choice>
      <mc:Fallback xmlns="">
        <xdr:sp macro="" textlink="">
          <xdr:nvSpPr>
            <xdr:cNvPr id="0" name=""/>
            <xdr:cNvSpPr>
              <a:spLocks noTextEdit="1"/>
            </xdr:cNvSpPr>
          </xdr:nvSpPr>
          <xdr:spPr>
            <a:xfrm>
              <a:off x="678872" y="13134110"/>
              <a:ext cx="1823258" cy="2428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67889</xdr:colOff>
      <xdr:row>109</xdr:row>
      <xdr:rowOff>166255</xdr:rowOff>
    </xdr:from>
    <xdr:to>
      <xdr:col>25</xdr:col>
      <xdr:colOff>67889</xdr:colOff>
      <xdr:row>123</xdr:row>
      <xdr:rowOff>111702</xdr:rowOff>
    </xdr:to>
    <mc:AlternateContent xmlns:mc="http://schemas.openxmlformats.org/markup-compatibility/2006" xmlns:a14="http://schemas.microsoft.com/office/drawing/2010/main">
      <mc:Choice Requires="a14">
        <xdr:graphicFrame macro="">
          <xdr:nvGraphicFramePr>
            <xdr:cNvPr id="12" name="Major 1">
              <a:extLst>
                <a:ext uri="{FF2B5EF4-FFF2-40B4-BE49-F238E27FC236}">
                  <a16:creationId xmlns:a16="http://schemas.microsoft.com/office/drawing/2014/main" id="{E114B739-43DE-485C-B00C-02200D326449}"/>
                </a:ext>
              </a:extLst>
            </xdr:cNvPr>
            <xdr:cNvGraphicFramePr/>
          </xdr:nvGraphicFramePr>
          <xdr:xfrm>
            <a:off x="0" y="0"/>
            <a:ext cx="0" cy="0"/>
          </xdr:xfrm>
          <a:graphic>
            <a:graphicData uri="http://schemas.microsoft.com/office/drawing/2010/slicer">
              <sle:slicer xmlns:sle="http://schemas.microsoft.com/office/drawing/2010/slicer" name="Major 1"/>
            </a:graphicData>
          </a:graphic>
        </xdr:graphicFrame>
      </mc:Choice>
      <mc:Fallback xmlns="">
        <xdr:sp macro="" textlink="">
          <xdr:nvSpPr>
            <xdr:cNvPr id="0" name=""/>
            <xdr:cNvSpPr>
              <a:spLocks noTextEdit="1"/>
            </xdr:cNvSpPr>
          </xdr:nvSpPr>
          <xdr:spPr>
            <a:xfrm>
              <a:off x="13617634" y="19812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7621</xdr:colOff>
      <xdr:row>73</xdr:row>
      <xdr:rowOff>36716</xdr:rowOff>
    </xdr:from>
    <xdr:to>
      <xdr:col>23</xdr:col>
      <xdr:colOff>7621</xdr:colOff>
      <xdr:row>86</xdr:row>
      <xdr:rowOff>162273</xdr:rowOff>
    </xdr:to>
    <mc:AlternateContent xmlns:mc="http://schemas.openxmlformats.org/markup-compatibility/2006" xmlns:a14="http://schemas.microsoft.com/office/drawing/2010/main">
      <mc:Choice Requires="a14">
        <xdr:graphicFrame macro="">
          <xdr:nvGraphicFramePr>
            <xdr:cNvPr id="13" name="Major_category 1">
              <a:extLst>
                <a:ext uri="{FF2B5EF4-FFF2-40B4-BE49-F238E27FC236}">
                  <a16:creationId xmlns:a16="http://schemas.microsoft.com/office/drawing/2014/main" id="{CB94E49E-0CE5-475D-B02C-A18C0D7486E2}"/>
                </a:ext>
              </a:extLst>
            </xdr:cNvPr>
            <xdr:cNvGraphicFramePr/>
          </xdr:nvGraphicFramePr>
          <xdr:xfrm>
            <a:off x="0" y="0"/>
            <a:ext cx="0" cy="0"/>
          </xdr:xfrm>
          <a:graphic>
            <a:graphicData uri="http://schemas.microsoft.com/office/drawing/2010/slicer">
              <sle:slicer xmlns:sle="http://schemas.microsoft.com/office/drawing/2010/slicer" name="Major_category 1"/>
            </a:graphicData>
          </a:graphic>
        </xdr:graphicFrame>
      </mc:Choice>
      <mc:Fallback xmlns="">
        <xdr:sp macro="" textlink="">
          <xdr:nvSpPr>
            <xdr:cNvPr id="0" name=""/>
            <xdr:cNvSpPr>
              <a:spLocks noTextEdit="1"/>
            </xdr:cNvSpPr>
          </xdr:nvSpPr>
          <xdr:spPr>
            <a:xfrm>
              <a:off x="12338166" y="1319853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321425</xdr:colOff>
      <xdr:row>73</xdr:row>
      <xdr:rowOff>18012</xdr:rowOff>
    </xdr:from>
    <xdr:to>
      <xdr:col>13</xdr:col>
      <xdr:colOff>321425</xdr:colOff>
      <xdr:row>86</xdr:row>
      <xdr:rowOff>143569</xdr:rowOff>
    </xdr:to>
    <mc:AlternateContent xmlns:mc="http://schemas.openxmlformats.org/markup-compatibility/2006" xmlns:a14="http://schemas.microsoft.com/office/drawing/2010/main">
      <mc:Choice Requires="a14">
        <xdr:graphicFrame macro="">
          <xdr:nvGraphicFramePr>
            <xdr:cNvPr id="14" name="Unemployment_rate">
              <a:extLst>
                <a:ext uri="{FF2B5EF4-FFF2-40B4-BE49-F238E27FC236}">
                  <a16:creationId xmlns:a16="http://schemas.microsoft.com/office/drawing/2014/main" id="{FF77C71D-0B32-4874-B7EB-31DDB9340EF7}"/>
                </a:ext>
              </a:extLst>
            </xdr:cNvPr>
            <xdr:cNvGraphicFramePr/>
          </xdr:nvGraphicFramePr>
          <xdr:xfrm>
            <a:off x="0" y="0"/>
            <a:ext cx="0" cy="0"/>
          </xdr:xfrm>
          <a:graphic>
            <a:graphicData uri="http://schemas.microsoft.com/office/drawing/2010/slicer">
              <sle:slicer xmlns:sle="http://schemas.microsoft.com/office/drawing/2010/slicer" name="Unemployment_rate"/>
            </a:graphicData>
          </a:graphic>
        </xdr:graphicFrame>
      </mc:Choice>
      <mc:Fallback xmlns="">
        <xdr:sp macro="" textlink="">
          <xdr:nvSpPr>
            <xdr:cNvPr id="0" name=""/>
            <xdr:cNvSpPr>
              <a:spLocks noTextEdit="1"/>
            </xdr:cNvSpPr>
          </xdr:nvSpPr>
          <xdr:spPr>
            <a:xfrm>
              <a:off x="6486698" y="1317983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330431</xdr:colOff>
      <xdr:row>109</xdr:row>
      <xdr:rowOff>68581</xdr:rowOff>
    </xdr:from>
    <xdr:to>
      <xdr:col>21</xdr:col>
      <xdr:colOff>330431</xdr:colOff>
      <xdr:row>123</xdr:row>
      <xdr:rowOff>14028</xdr:rowOff>
    </xdr:to>
    <mc:AlternateContent xmlns:mc="http://schemas.openxmlformats.org/markup-compatibility/2006" xmlns:a14="http://schemas.microsoft.com/office/drawing/2010/main">
      <mc:Choice Requires="a14">
        <xdr:graphicFrame macro="">
          <xdr:nvGraphicFramePr>
            <xdr:cNvPr id="15" name="Median">
              <a:extLst>
                <a:ext uri="{FF2B5EF4-FFF2-40B4-BE49-F238E27FC236}">
                  <a16:creationId xmlns:a16="http://schemas.microsoft.com/office/drawing/2014/main" id="{36A47769-124F-4D82-934C-06DD244CE3C0}"/>
                </a:ext>
              </a:extLst>
            </xdr:cNvPr>
            <xdr:cNvGraphicFramePr/>
          </xdr:nvGraphicFramePr>
          <xdr:xfrm>
            <a:off x="0" y="0"/>
            <a:ext cx="0" cy="0"/>
          </xdr:xfrm>
          <a:graphic>
            <a:graphicData uri="http://schemas.microsoft.com/office/drawing/2010/slicer">
              <sle:slicer xmlns:sle="http://schemas.microsoft.com/office/drawing/2010/slicer" name="Median"/>
            </a:graphicData>
          </a:graphic>
        </xdr:graphicFrame>
      </mc:Choice>
      <mc:Fallback xmlns="">
        <xdr:sp macro="" textlink="">
          <xdr:nvSpPr>
            <xdr:cNvPr id="0" name=""/>
            <xdr:cNvSpPr>
              <a:spLocks noTextEdit="1"/>
            </xdr:cNvSpPr>
          </xdr:nvSpPr>
          <xdr:spPr>
            <a:xfrm>
              <a:off x="11441776" y="1971432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519544</xdr:colOff>
      <xdr:row>73</xdr:row>
      <xdr:rowOff>36023</xdr:rowOff>
    </xdr:from>
    <xdr:to>
      <xdr:col>19</xdr:col>
      <xdr:colOff>519544</xdr:colOff>
      <xdr:row>86</xdr:row>
      <xdr:rowOff>161580</xdr:rowOff>
    </xdr:to>
    <mc:AlternateContent xmlns:mc="http://schemas.openxmlformats.org/markup-compatibility/2006" xmlns:a14="http://schemas.microsoft.com/office/drawing/2010/main">
      <mc:Choice Requires="a14">
        <xdr:graphicFrame macro="">
          <xdr:nvGraphicFramePr>
            <xdr:cNvPr id="16" name="employment_rate">
              <a:extLst>
                <a:ext uri="{FF2B5EF4-FFF2-40B4-BE49-F238E27FC236}">
                  <a16:creationId xmlns:a16="http://schemas.microsoft.com/office/drawing/2014/main" id="{CCE5E938-7E1D-463E-91C6-B8649192D1E2}"/>
                </a:ext>
              </a:extLst>
            </xdr:cNvPr>
            <xdr:cNvGraphicFramePr/>
          </xdr:nvGraphicFramePr>
          <xdr:xfrm>
            <a:off x="0" y="0"/>
            <a:ext cx="0" cy="0"/>
          </xdr:xfrm>
          <a:graphic>
            <a:graphicData uri="http://schemas.microsoft.com/office/drawing/2010/slicer">
              <sle:slicer xmlns:sle="http://schemas.microsoft.com/office/drawing/2010/slicer" name="employment_rate"/>
            </a:graphicData>
          </a:graphic>
        </xdr:graphicFrame>
      </mc:Choice>
      <mc:Fallback xmlns="">
        <xdr:sp macro="" textlink="">
          <xdr:nvSpPr>
            <xdr:cNvPr id="0" name=""/>
            <xdr:cNvSpPr>
              <a:spLocks noTextEdit="1"/>
            </xdr:cNvSpPr>
          </xdr:nvSpPr>
          <xdr:spPr>
            <a:xfrm>
              <a:off x="10411689" y="1319784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251461</xdr:colOff>
      <xdr:row>109</xdr:row>
      <xdr:rowOff>128155</xdr:rowOff>
    </xdr:from>
    <xdr:to>
      <xdr:col>18</xdr:col>
      <xdr:colOff>112916</xdr:colOff>
      <xdr:row>123</xdr:row>
      <xdr:rowOff>73602</xdr:rowOff>
    </xdr:to>
    <mc:AlternateContent xmlns:mc="http://schemas.openxmlformats.org/markup-compatibility/2006" xmlns:a14="http://schemas.microsoft.com/office/drawing/2010/main">
      <mc:Choice Requires="a14">
        <xdr:graphicFrame macro="">
          <xdr:nvGraphicFramePr>
            <xdr:cNvPr id="17" name="full_time_share">
              <a:extLst>
                <a:ext uri="{FF2B5EF4-FFF2-40B4-BE49-F238E27FC236}">
                  <a16:creationId xmlns:a16="http://schemas.microsoft.com/office/drawing/2014/main" id="{9349B2A5-F89C-4F37-AB15-AB6091842C43}"/>
                </a:ext>
              </a:extLst>
            </xdr:cNvPr>
            <xdr:cNvGraphicFramePr/>
          </xdr:nvGraphicFramePr>
          <xdr:xfrm>
            <a:off x="0" y="0"/>
            <a:ext cx="0" cy="0"/>
          </xdr:xfrm>
          <a:graphic>
            <a:graphicData uri="http://schemas.microsoft.com/office/drawing/2010/slicer">
              <sle:slicer xmlns:sle="http://schemas.microsoft.com/office/drawing/2010/slicer" name="full_time_share"/>
            </a:graphicData>
          </a:graphic>
        </xdr:graphicFrame>
      </mc:Choice>
      <mc:Fallback xmlns="">
        <xdr:sp macro="" textlink="">
          <xdr:nvSpPr>
            <xdr:cNvPr id="0" name=""/>
            <xdr:cNvSpPr>
              <a:spLocks noTextEdit="1"/>
            </xdr:cNvSpPr>
          </xdr:nvSpPr>
          <xdr:spPr>
            <a:xfrm>
              <a:off x="9395461" y="19773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454429</xdr:colOff>
      <xdr:row>73</xdr:row>
      <xdr:rowOff>40180</xdr:rowOff>
    </xdr:from>
    <xdr:to>
      <xdr:col>16</xdr:col>
      <xdr:colOff>385157</xdr:colOff>
      <xdr:row>86</xdr:row>
      <xdr:rowOff>165737</xdr:rowOff>
    </xdr:to>
    <mc:AlternateContent xmlns:mc="http://schemas.openxmlformats.org/markup-compatibility/2006" xmlns:a14="http://schemas.microsoft.com/office/drawing/2010/main">
      <mc:Choice Requires="a14">
        <xdr:graphicFrame macro="">
          <xdr:nvGraphicFramePr>
            <xdr:cNvPr id="18" name="ShareWomen 1">
              <a:extLst>
                <a:ext uri="{FF2B5EF4-FFF2-40B4-BE49-F238E27FC236}">
                  <a16:creationId xmlns:a16="http://schemas.microsoft.com/office/drawing/2014/main" id="{52D029D1-4824-48B2-824B-4EE9B832F1D8}"/>
                </a:ext>
              </a:extLst>
            </xdr:cNvPr>
            <xdr:cNvGraphicFramePr/>
          </xdr:nvGraphicFramePr>
          <xdr:xfrm>
            <a:off x="0" y="0"/>
            <a:ext cx="0" cy="0"/>
          </xdr:xfrm>
          <a:graphic>
            <a:graphicData uri="http://schemas.microsoft.com/office/drawing/2010/slicer">
              <sle:slicer xmlns:sle="http://schemas.microsoft.com/office/drawing/2010/slicer" name="ShareWomen 1"/>
            </a:graphicData>
          </a:graphic>
        </xdr:graphicFrame>
      </mc:Choice>
      <mc:Fallback xmlns="">
        <xdr:sp macro="" textlink="">
          <xdr:nvSpPr>
            <xdr:cNvPr id="0" name=""/>
            <xdr:cNvSpPr>
              <a:spLocks noTextEdit="1"/>
            </xdr:cNvSpPr>
          </xdr:nvSpPr>
          <xdr:spPr>
            <a:xfrm>
              <a:off x="8448502" y="1320199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269470</xdr:colOff>
      <xdr:row>73</xdr:row>
      <xdr:rowOff>7622</xdr:rowOff>
    </xdr:from>
    <xdr:to>
      <xdr:col>10</xdr:col>
      <xdr:colOff>200197</xdr:colOff>
      <xdr:row>86</xdr:row>
      <xdr:rowOff>133179</xdr:rowOff>
    </xdr:to>
    <mc:AlternateContent xmlns:mc="http://schemas.openxmlformats.org/markup-compatibility/2006" xmlns:a14="http://schemas.microsoft.com/office/drawing/2010/main">
      <mc:Choice Requires="a14">
        <xdr:graphicFrame macro="">
          <xdr:nvGraphicFramePr>
            <xdr:cNvPr id="19" name="Low_wage_jobs">
              <a:extLst>
                <a:ext uri="{FF2B5EF4-FFF2-40B4-BE49-F238E27FC236}">
                  <a16:creationId xmlns:a16="http://schemas.microsoft.com/office/drawing/2014/main" id="{712F5C13-41A1-4008-AD79-6F0B3D3D6045}"/>
                </a:ext>
              </a:extLst>
            </xdr:cNvPr>
            <xdr:cNvGraphicFramePr/>
          </xdr:nvGraphicFramePr>
          <xdr:xfrm>
            <a:off x="0" y="0"/>
            <a:ext cx="0" cy="0"/>
          </xdr:xfrm>
          <a:graphic>
            <a:graphicData uri="http://schemas.microsoft.com/office/drawing/2010/slicer">
              <sle:slicer xmlns:sle="http://schemas.microsoft.com/office/drawing/2010/slicer" name="Low_wage_jobs"/>
            </a:graphicData>
          </a:graphic>
        </xdr:graphicFrame>
      </mc:Choice>
      <mc:Fallback xmlns="">
        <xdr:sp macro="" textlink="">
          <xdr:nvSpPr>
            <xdr:cNvPr id="0" name=""/>
            <xdr:cNvSpPr>
              <a:spLocks noTextEdit="1"/>
            </xdr:cNvSpPr>
          </xdr:nvSpPr>
          <xdr:spPr>
            <a:xfrm>
              <a:off x="4536670" y="13169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153787</xdr:colOff>
      <xdr:row>72</xdr:row>
      <xdr:rowOff>169027</xdr:rowOff>
    </xdr:from>
    <xdr:to>
      <xdr:col>7</xdr:col>
      <xdr:colOff>153787</xdr:colOff>
      <xdr:row>86</xdr:row>
      <xdr:rowOff>114475</xdr:rowOff>
    </xdr:to>
    <mc:AlternateContent xmlns:mc="http://schemas.openxmlformats.org/markup-compatibility/2006" xmlns:a14="http://schemas.microsoft.com/office/drawing/2010/main">
      <mc:Choice Requires="a14">
        <xdr:graphicFrame macro="">
          <xdr:nvGraphicFramePr>
            <xdr:cNvPr id="20" name="salary_premium">
              <a:extLst>
                <a:ext uri="{FF2B5EF4-FFF2-40B4-BE49-F238E27FC236}">
                  <a16:creationId xmlns:a16="http://schemas.microsoft.com/office/drawing/2014/main" id="{B56C49CD-54E1-4F9B-9A00-54CACC0C7E1F}"/>
                </a:ext>
              </a:extLst>
            </xdr:cNvPr>
            <xdr:cNvGraphicFramePr/>
          </xdr:nvGraphicFramePr>
          <xdr:xfrm>
            <a:off x="0" y="0"/>
            <a:ext cx="0" cy="0"/>
          </xdr:xfrm>
          <a:graphic>
            <a:graphicData uri="http://schemas.microsoft.com/office/drawing/2010/slicer">
              <sle:slicer xmlns:sle="http://schemas.microsoft.com/office/drawing/2010/slicer" name="salary_premium"/>
            </a:graphicData>
          </a:graphic>
        </xdr:graphicFrame>
      </mc:Choice>
      <mc:Fallback xmlns="">
        <xdr:sp macro="" textlink="">
          <xdr:nvSpPr>
            <xdr:cNvPr id="0" name=""/>
            <xdr:cNvSpPr>
              <a:spLocks noTextEdit="1"/>
            </xdr:cNvSpPr>
          </xdr:nvSpPr>
          <xdr:spPr>
            <a:xfrm>
              <a:off x="2592187" y="1315073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0.000367939814" createdVersion="8" refreshedVersion="8" minRefreshableVersion="3" recordCount="173" xr:uid="{698C1326-75DD-4DA1-B5F3-96CE47F6F764}">
  <cacheSource type="worksheet">
    <worksheetSource name="college_majors_merged"/>
  </cacheSource>
  <cacheFields count="25">
    <cacheField name="Major_code" numFmtId="0">
      <sharedItems containsSemiMixedTypes="0" containsString="0" containsNumber="1" containsInteger="1" minValue="1100" maxValue="6403"/>
    </cacheField>
    <cacheField name="Major" numFmtId="0">
      <sharedItems count="173">
        <s v="GENERAL AGRICULTURE"/>
        <s v="AGRICULTURE PRODUCTION AND MANAGEMENT"/>
        <s v="AGRICULTURAL ECONOMICS"/>
        <s v="ANIMAL SCIENCES"/>
        <s v="FOOD SCIENCE"/>
        <s v="PLANT SCIENCE AND AGRONOMY"/>
        <s v="SOIL SCIENCE"/>
        <s v="MISCELLANEOUS AGRICULTURE"/>
        <s v="ENVIRONMENTAL SCIENCE"/>
        <s v="FORESTRY"/>
        <s v="NATURAL RESOURCES MANAGEMENT"/>
        <s v="ARCHITECTURE"/>
        <s v="AREA ETHNIC AND CIVILIZATION STUDIES"/>
        <s v="COMMUNICATIONS"/>
        <s v="JOURNALISM"/>
        <s v="MASS MEDIA"/>
        <s v="ADVERTISING AND PUBLIC RELATIONS"/>
        <s v="COMMUNICATION TECHNOLOGIES"/>
        <s v="COMPUTER AND INFORMATION SYSTEMS"/>
        <s v="COMPUTER PROGRAMMING AND DATA PROCESSING"/>
        <s v="COMPUTER SCIENCE"/>
        <s v="INFORMATION SCIENCES"/>
        <s v="COMPUTER ADMINISTRATION MANAGEMENT AND SECURITY"/>
        <s v="COMPUTER NETWORKING AND TELECOMMUNICATIONS"/>
        <s v="COSMETOLOGY SERVICES AND CULINARY ARTS"/>
        <s v="GENERAL EDUCATION"/>
        <s v="EDUCATIONAL ADMINISTRATION AND SUPERVISION"/>
        <s v="SCHOOL STUDENT COUNSELING"/>
        <s v="ELEMENTARY EDUCATION"/>
        <s v="MATHEMATICS TEACHER EDUCATION"/>
        <s v="PHYSICAL AND HEALTH EDUCATION TEACHING"/>
        <s v="EARLY CHILDHOOD EDUCATION"/>
        <s v="SCIENCE AND COMPUTER TEACHER EDUCATION"/>
        <s v="SECONDARY TEACHER EDUCATION"/>
        <s v="SPECIAL NEEDS EDUCATION"/>
        <s v="SOCIAL SCIENCE OR HISTORY TEACHER EDUCATION"/>
        <s v="TEACHER EDUCATION: MULTIPLE LEVELS"/>
        <s v="LANGUAGE AND DRAMA EDUCATION"/>
        <s v="ART AND MUSIC EDUCATION"/>
        <s v="MISCELLANEOUS EDUCATION"/>
        <s v="GENERAL ENGINEERING"/>
        <s v="AEROSPACE ENGINEERING"/>
        <s v="BIOLOGICAL ENGINEERING"/>
        <s v="ARCHITECTURAL ENGINEERING"/>
        <s v="BIOMEDICAL ENGINEERING"/>
        <s v="CHEMICAL ENGINEERING"/>
        <s v="CIVIL ENGINEERING"/>
        <s v="COMPUTER ENGINEERING"/>
        <s v="ELECTRICAL ENGINEERING"/>
        <s v="ENGINEERING MECHANICS PHYSICS AND SCIENCE"/>
        <s v="ENVIRONMENTAL ENGINEERING"/>
        <s v="GEOLOGICAL AND GEOPHYSICAL ENGINEERING"/>
        <s v="INDUSTRIAL AND MANUFACTURING ENGINEERING"/>
        <s v="MATERIALS ENGINEERING AND MATERIALS SCIENCE"/>
        <s v="MECHANICAL ENGINEERING"/>
        <s v="METALLURGICAL ENGINEERING"/>
        <s v="MINING AND MINERAL ENGINEERING"/>
        <s v="NAVAL ARCHITECTURE AND MARINE ENGINEERING"/>
        <s v="NUCLEAR ENGINEERING"/>
        <s v="PETROLEUM ENGINEERING"/>
        <s v="MISCELLANEOUS ENGINEERING"/>
        <s v="ENGINEERING TECHNOLOGIES"/>
        <s v="ENGINEERING AND INDUSTRIAL MANAGEMENT"/>
        <s v="ELECTRICAL ENGINEERING TECHNOLOGY"/>
        <s v="INDUSTRIAL PRODUCTION TECHNOLOGIES"/>
        <s v="MECHANICAL ENGINEERING RELATED TECHNOLOGIES"/>
        <s v="MISCELLANEOUS ENGINEERING TECHNOLOGIES"/>
        <s v="LINGUISTICS AND COMPARATIVE LANGUAGE AND LITERATURE"/>
        <s v="FRENCH GERMAN LATIN AND OTHER COMMON FOREIGN LANGUAGE STUDIES"/>
        <s v="OTHER FOREIGN LANGUAGES"/>
        <s v="FAMILY AND CONSUMER SCIENCES"/>
        <s v="COURT REPORTING"/>
        <s v="PRE-LAW AND LEGAL STUDIES"/>
        <s v="ENGLISH LANGUAGE AND LITERATURE"/>
        <s v="COMPOSITION AND RHETORIC"/>
        <s v="LIBERAL ARTS"/>
        <s v="HUMANITIES"/>
        <s v="LIBRARY SCIENCE"/>
        <s v="BIOLOGY"/>
        <s v="BIOCHEMICAL SCIENCES"/>
        <s v="BOTANY"/>
        <s v="MOLECULAR BIOLOGY"/>
        <s v="ECOLOGY"/>
        <s v="GENETICS"/>
        <s v="MICROBIOLOGY"/>
        <s v="PHARMACOLOGY"/>
        <s v="PHYSIOLOGY"/>
        <s v="ZOOLOGY"/>
        <s v="NEUROSCIENCE"/>
        <s v="MISCELLANEOUS BIOLOGY"/>
        <s v="MATHEMATICS"/>
        <s v="APPLIED MATHEMATICS"/>
        <s v="STATISTICS AND DECISION SCIENCE"/>
        <s v="MILITARY TECHNOLOGIES"/>
        <s v="MULTI/INTERDISCIPLINARY STUDIES"/>
        <s v="INTERCULTURAL AND INTERNATIONAL STUDIES"/>
        <s v="NUTRITION SCIENCES"/>
        <s v="MATHEMATICS AND COMPUTER SCIENCE"/>
        <s v="COGNITIVE SCIENCE AND BIOPSYCHOLOGY"/>
        <s v="INTERDISCIPLINARY SOCIAL SCIENCES"/>
        <s v="PHYSICAL FITNESS PARKS RECREATION AND LEISURE"/>
        <s v="PHILOSOPHY AND RELIGIOUS STUDIES"/>
        <s v="THEOLOGY AND RELIGIOUS VOCATIONS"/>
        <s v="PHYSICAL SCIENCES"/>
        <s v="ASTRONOMY AND ASTROPHYSICS"/>
        <s v="ATMOSPHERIC SCIENCES AND METEOROLOGY"/>
        <s v="CHEMISTRY"/>
        <s v="GEOLOGY AND EARTH SCIENCE"/>
        <s v="GEOSCIENCES"/>
        <s v="OCEANOGRAPHY"/>
        <s v="PHYSICS"/>
        <s v="MATERIALS SCIENCE"/>
        <s v="MULTI-DISCIPLINARY OR GENERAL SCIENCE"/>
        <s v="NUCLEAR, INDUSTRIAL RADIOLOGY, AND BIOLOGICAL TECHNOLOGIES"/>
        <s v="PSYCHOLOGY"/>
        <s v="EDUCATIONAL PSYCHOLOGY"/>
        <s v="CLINICAL PSYCHOLOGY"/>
        <s v="COUNSELING PSYCHOLOGY"/>
        <s v="INDUSTRIAL AND ORGANIZATIONAL PSYCHOLOGY"/>
        <s v="SOCIAL PSYCHOLOGY"/>
        <s v="MISCELLANEOUS PSYCHOLOGY"/>
        <s v="CRIMINAL JUSTICE AND FIRE PROTECTION"/>
        <s v="PUBLIC ADMINISTRATION"/>
        <s v="PUBLIC POLICY"/>
        <s v="HUMAN SERVICES AND COMMUNITY ORGANIZATION"/>
        <s v="SOCIAL WORK"/>
        <s v="GENERAL SOCIAL SCIENCES"/>
        <s v="ECONOMICS"/>
        <s v="ANTHROPOLOGY AND ARCHEOLOGY"/>
        <s v="CRIMINOLOGY"/>
        <s v="GEOGRAPHY"/>
        <s v="INTERNATIONAL RELATIONS"/>
        <s v="POLITICAL SCIENCE AND GOVERNMENT"/>
        <s v="SOCIOLOGY"/>
        <s v="MISCELLANEOUS SOCIAL SCIENCES"/>
        <s v="CONSTRUCTION SERVICES"/>
        <s v="ELECTRICAL, MECHANICAL, AND PRECISION TECHNOLOGIES AND PRODUCTION"/>
        <s v="TRANSPORTATION SCIENCES AND TECHNOLOGIES"/>
        <s v="FINE ARTS"/>
        <s v="DRAMA AND THEATER ARTS"/>
        <s v="MUSIC"/>
        <s v="VISUAL AND PERFORMING ARTS"/>
        <s v="COMMERCIAL ART AND GRAPHIC DESIGN"/>
        <s v="FILM VIDEO AND PHOTOGRAPHIC ARTS"/>
        <s v="ART HISTORY AND CRITICISM"/>
        <s v="STUDIO ARTS"/>
        <s v="MISCELLANEOUS FINE ARTS"/>
        <s v="GENERAL MEDICAL AND HEALTH SERVICES"/>
        <s v="COMMUNICATION DISORDERS SCIENCES AND SERVICES"/>
        <s v="HEALTH AND MEDICAL ADMINISTRATIVE SERVICES"/>
        <s v="MEDICAL ASSISTING SERVICES"/>
        <s v="MEDICAL TECHNOLOGIES TECHNICIANS"/>
        <s v="HEALTH AND MEDICAL PREPARATORY PROGRAMS"/>
        <s v="NURSING"/>
        <s v="PHARMACY PHARMACEUTICAL SCIENCES AND ADMINISTRATION"/>
        <s v="TREATMENT THERAPY PROFESSIONS"/>
        <s v="COMMUNITY AND PUBLIC HEALTH"/>
        <s v="MISCELLANEOUS HEALTH MEDICAL PROFESSIONS"/>
        <s v="GENERAL BUSINESS"/>
        <s v="ACCOUNTING"/>
        <s v="ACTUARIAL SCIENCE"/>
        <s v="BUSINESS MANAGEMENT AND ADMINISTRATION"/>
        <s v="OPERATIONS LOGISTICS AND E-COMMERCE"/>
        <s v="BUSINESS ECONOMICS"/>
        <s v="MARKETING AND MARKETING RESEARCH"/>
        <s v="FINANCE"/>
        <s v="HUMAN RESOURCES AND PERSONNEL MANAGEMENT"/>
        <s v="INTERNATIONAL BUSINESS"/>
        <s v="HOSPITALITY MANAGEMENT"/>
        <s v="MANAGEMENT INFORMATION SYSTEMS AND STATISTICS"/>
        <s v="MISCELLANEOUS BUSINESS &amp; MEDICAL ADMINISTRATION"/>
        <s v="HISTORY"/>
        <s v="UNITED STATES HISTORY"/>
      </sharedItems>
    </cacheField>
    <cacheField name="Major_category" numFmtId="0">
      <sharedItems count="16">
        <s v="Agriculture &amp; Natural Resources"/>
        <s v="Biology &amp; Life Science"/>
        <s v="Engineering"/>
        <s v="Humanities &amp; Liberal Arts"/>
        <s v="Communications &amp; Journalism"/>
        <s v="Computers &amp; Mathematics"/>
        <s v="Industrial Arts &amp; Consumer Services"/>
        <s v="Education"/>
        <s v="Law &amp; Public Policy"/>
        <s v="Interdisciplinary"/>
        <s v="Health"/>
        <s v="Social Science"/>
        <s v="Physical Sciences"/>
        <s v="Psychology &amp; Social Work"/>
        <s v="Arts"/>
        <s v="Business"/>
      </sharedItems>
    </cacheField>
    <cacheField name="Total_ws" numFmtId="0">
      <sharedItems containsSemiMixedTypes="0" containsString="0" containsNumber="1" containsInteger="1" minValue="2396" maxValue="3123510"/>
    </cacheField>
    <cacheField name="Employed" numFmtId="0">
      <sharedItems containsSemiMixedTypes="0" containsString="0" containsNumber="1" containsInteger="1" minValue="1492" maxValue="2354398"/>
    </cacheField>
    <cacheField name="Employed_full_time_year_round" numFmtId="0">
      <sharedItems containsSemiMixedTypes="0" containsString="0" containsNumber="1" containsInteger="1" minValue="1093" maxValue="1939384"/>
    </cacheField>
    <cacheField name="Unemployed" numFmtId="0">
      <sharedItems containsSemiMixedTypes="0" containsString="0" containsNumber="1" containsInteger="1" minValue="0" maxValue="147261"/>
    </cacheField>
    <cacheField name="Unemployment_rate" numFmtId="0">
      <sharedItems containsSemiMixedTypes="0" containsString="0" containsNumber="1" minValue="0" maxValue="0.156147487" count="172">
        <n v="2.6147106E-2"/>
        <n v="2.8636058999999998E-2"/>
        <n v="3.0248324E-2"/>
        <n v="4.2678899999999999E-2"/>
        <n v="4.9188445999999997E-2"/>
        <n v="3.1790886999999997E-2"/>
        <n v="5.0867052000000003E-2"/>
        <n v="3.9230422000000001E-2"/>
        <n v="5.1289827000000003E-2"/>
        <n v="4.2563328999999997E-2"/>
        <n v="5.4341278999999999E-2"/>
        <n v="8.5991128999999999E-2"/>
        <n v="6.7938958999999993E-2"/>
        <n v="6.4360314000000002E-2"/>
        <n v="6.1916751999999999E-2"/>
        <n v="8.3004759999999997E-2"/>
        <n v="6.7216257000000001E-2"/>
        <n v="8.5008668999999995E-2"/>
        <n v="5.1891238999999999E-2"/>
        <n v="9.0264216999999994E-2"/>
        <n v="4.9518657000000001E-2"/>
        <n v="5.2841063000000001E-2"/>
        <n v="7.5045724999999994E-2"/>
        <n v="5.8694120000000002E-2"/>
        <n v="5.4940700000000002E-2"/>
        <n v="4.3903517000000003E-2"/>
        <n v="0"/>
        <n v="0.101745936"/>
        <n v="3.8359164000000001E-2"/>
        <n v="3.2983017000000003E-2"/>
        <n v="4.6266957999999997E-2"/>
        <n v="4.9350649000000003E-2"/>
        <n v="4.2199894000000002E-2"/>
        <n v="4.3755677E-2"/>
        <n v="4.7144655000000001E-2"/>
        <n v="4.6013198999999998E-2"/>
        <n v="3.3356863E-2"/>
        <n v="4.8080293000000003E-2"/>
        <n v="4.0973373E-2"/>
        <n v="3.9215237999999999E-2"/>
        <n v="4.7688237000000001E-2"/>
        <n v="4.1971308999999998E-2"/>
        <n v="5.8974061000000001E-2"/>
        <n v="6.9042770000000003E-2"/>
        <n v="7.9035833999999999E-2"/>
        <n v="4.6261361000000001E-2"/>
        <n v="5.3386588999999998E-2"/>
        <n v="5.4743829000000001E-2"/>
        <n v="5.0508788999999998E-2"/>
        <n v="4.3804515000000002E-2"/>
        <n v="4.5732003E-2"/>
        <n v="5.1493382999999997E-2"/>
        <n v="5.9731114000000002E-2"/>
        <n v="4.3843856E-2"/>
        <n v="4.4872677E-2"/>
        <n v="4.7031611000000001E-2"/>
        <n v="4.0308825E-2"/>
        <n v="6.7159423999999995E-2"/>
        <n v="4.2205349000000003E-2"/>
        <n v="5.8821008000000001E-2"/>
        <n v="4.6711214000000001E-2"/>
        <n v="5.4658256000000002E-2"/>
        <n v="5.8384093999999997E-2"/>
        <n v="4.9846002E-2"/>
        <n v="4.3533272999999997E-2"/>
        <n v="6.0196820999999998E-2"/>
        <n v="8.1348088999999998E-2"/>
        <n v="5.8792542000000003E-2"/>
        <n v="7.2373874000000005E-2"/>
        <n v="5.5784848999999997E-2"/>
        <n v="6.6512583E-2"/>
        <n v="6.9847803999999999E-2"/>
        <n v="6.8645304000000004E-2"/>
        <n v="7.3614949999999998E-2"/>
        <n v="6.7578521000000003E-2"/>
        <n v="7.7843758999999998E-2"/>
        <n v="9.4842992000000001E-2"/>
        <n v="5.930117E-2"/>
        <n v="7.1597528999999993E-2"/>
        <n v="3.4023514999999997E-2"/>
        <n v="6.0537075000000003E-2"/>
        <n v="4.8916986000000003E-2"/>
        <n v="4.1590954999999999E-2"/>
        <n v="5.0880749000000003E-2"/>
        <n v="1.6110797E-2"/>
        <n v="5.1139455E-2"/>
        <n v="4.8362599999999999E-2"/>
        <n v="6.8897637999999997E-2"/>
        <n v="4.7582435999999999E-2"/>
        <n v="5.2936080000000003E-2"/>
        <n v="5.5652607999999999E-2"/>
        <n v="5.7054045999999997E-2"/>
        <n v="0.10179640700000001"/>
        <n v="7.7268967999999993E-2"/>
        <n v="7.4330126999999996E-2"/>
        <n v="6.3216549999999996E-2"/>
        <n v="2.4900398000000001E-2"/>
        <n v="4.8872827000000001E-2"/>
        <n v="6.5383452999999994E-2"/>
        <n v="4.6902999000000001E-2"/>
        <n v="7.5020334999999994E-2"/>
        <n v="4.2505111999999998E-2"/>
        <n v="3.8952537000000002E-2"/>
        <n v="8.6021504999999998E-2"/>
        <n v="3.6726307999999999E-2"/>
        <n v="5.4728623999999997E-2"/>
        <n v="6.5110534999999997E-2"/>
        <n v="4.2792441000000001E-2"/>
        <n v="5.3895090999999999E-2"/>
        <n v="5.2090055000000003E-2"/>
        <n v="2.2333333E-2"/>
        <n v="4.5231123999999998E-2"/>
        <n v="6.9857949000000003E-2"/>
        <n v="6.9666584000000004E-2"/>
        <n v="7.5631139999999999E-2"/>
        <n v="0.102712161"/>
        <n v="6.8021390000000001E-2"/>
        <n v="8.362907E-2"/>
        <n v="8.7336245000000007E-2"/>
        <n v="8.2009364000000001E-2"/>
        <n v="5.4035589000000002E-2"/>
        <n v="6.9654917999999996E-2"/>
        <n v="7.9216916999999998E-2"/>
        <n v="7.2421293999999997E-2"/>
        <n v="5.9375901000000002E-2"/>
        <n v="7.1056931000000004E-2"/>
        <n v="6.1312717000000003E-2"/>
        <n v="7.8175778000000001E-2"/>
        <n v="6.4519170000000001E-2"/>
        <n v="6.9008490000000006E-2"/>
        <n v="7.0313269999999997E-2"/>
        <n v="6.9373854999999998E-2"/>
        <n v="6.5804303999999994E-2"/>
        <n v="5.4398770999999999E-2"/>
        <n v="5.1097081000000003E-2"/>
        <n v="5.2033988000000003E-2"/>
        <n v="4.7263682000000001E-2"/>
        <n v="7.1753267999999995E-2"/>
        <n v="8.0273730000000001E-2"/>
        <n v="5.4719192999999999E-2"/>
        <n v="9.4658002000000005E-2"/>
        <n v="7.3919718999999995E-2"/>
        <n v="8.5618911000000006E-2"/>
        <n v="6.3912645000000004E-2"/>
        <n v="8.3713827000000005E-2"/>
        <n v="0.156147487"/>
        <n v="5.4700627000000002E-2"/>
        <n v="4.6467181000000003E-2"/>
        <n v="5.7003976999999997E-2"/>
        <n v="3.1356845000000001E-2"/>
        <n v="3.6209865000000001E-2"/>
        <n v="7.0009785000000005E-2"/>
        <n v="2.6796818E-2"/>
        <n v="3.4357681000000001E-2"/>
        <n v="2.6291603E-2"/>
        <n v="6.6527701999999994E-2"/>
        <n v="5.3572714E-2"/>
        <n v="5.1377531999999997E-2"/>
        <n v="5.3414673000000003E-2"/>
        <n v="5.6063522999999997E-2"/>
        <n v="5.8865336999999997E-2"/>
        <n v="4.3268259000000003E-2"/>
        <n v="6.1748572000000002E-2"/>
        <n v="5.5032889000000002E-2"/>
        <n v="4.8472930999999997E-2"/>
        <n v="6.0748094000000002E-2"/>
        <n v="7.1353708000000002E-2"/>
        <n v="5.1446983000000002E-2"/>
        <n v="4.3977136999999999E-2"/>
        <n v="5.2678560999999999E-2"/>
        <n v="6.5851006000000004E-2"/>
        <n v="7.3499610000000007E-2"/>
      </sharedItems>
    </cacheField>
    <cacheField name="Median" numFmtId="0">
      <sharedItems containsSemiMixedTypes="0" containsString="0" containsNumber="1" containsInteger="1" minValue="35000" maxValue="125000" count="58">
        <n v="50000"/>
        <n v="54000"/>
        <n v="63000"/>
        <n v="46000"/>
        <n v="62000"/>
        <n v="52000"/>
        <n v="58000"/>
        <n v="48000"/>
        <n v="65000"/>
        <n v="60000"/>
        <n v="78000"/>
        <n v="68000"/>
        <n v="55000"/>
        <n v="40000"/>
        <n v="43000"/>
        <n v="41000"/>
        <n v="48400"/>
        <n v="35300"/>
        <n v="45000"/>
        <n v="42000"/>
        <n v="42600"/>
        <n v="75000"/>
        <n v="80000"/>
        <n v="86000"/>
        <n v="88000"/>
        <n v="70000"/>
        <n v="85000"/>
        <n v="96000"/>
        <n v="92000"/>
        <n v="97000"/>
        <n v="95000"/>
        <n v="125000"/>
        <n v="74000"/>
        <n v="67000"/>
        <n v="40500"/>
        <n v="46700"/>
        <n v="51000"/>
        <n v="53000"/>
        <n v="47500"/>
        <n v="35000"/>
        <n v="66000"/>
        <n v="64000"/>
        <n v="49500"/>
        <n v="44000"/>
        <n v="59000"/>
        <n v="57000"/>
        <n v="56000"/>
        <n v="39000"/>
        <n v="47000"/>
        <n v="38000"/>
        <n v="69000"/>
        <n v="49000"/>
        <n v="46600"/>
        <n v="44500"/>
        <n v="37600"/>
        <n v="106000"/>
        <n v="61000"/>
        <n v="72000"/>
      </sharedItems>
    </cacheField>
    <cacheField name="P25th" numFmtId="0">
      <sharedItems containsSemiMixedTypes="0" containsString="0" containsNumber="1" containsInteger="1" minValue="24900" maxValue="78000"/>
    </cacheField>
    <cacheField name="P75th" numFmtId="0">
      <sharedItems containsSemiMixedTypes="0" containsString="0" containsNumber="1" containsInteger="1" minValue="45800" maxValue="210000"/>
    </cacheField>
    <cacheField name="employment_rate" numFmtId="0">
      <sharedItems containsSemiMixedTypes="0" containsString="0" containsNumber="1" minValue="0.38238702201622249" maxValue="0.85998218943817928" count="173">
        <n v="0.70422480257202613"/>
        <n v="0.80633824979543878"/>
        <n v="0.77517302311883374"/>
        <n v="0.78394769625974181"/>
        <n v="0.71173805601317952"/>
        <n v="0.79390245438174512"/>
        <n v="0.74795019738839963"/>
        <n v="0.74768978827933097"/>
        <n v="0.82560835391024068"/>
        <n v="0.69445764395870235"/>
        <n v="0.79262634033754864"/>
        <n v="0.73558155633678557"/>
        <n v="0.73065355696934642"/>
        <n v="0.80056212766129786"/>
        <n v="0.75205690450222906"/>
        <n v="0.80711887999318221"/>
        <n v="0.78913337865106592"/>
        <n v="0.7983296052525708"/>
        <n v="0.85998218943817928"/>
        <n v="0.7786608452433742"/>
        <n v="0.83796591820164124"/>
        <n v="0.85332562174667437"/>
        <n v="0.8222651288044307"/>
        <n v="0.85126808444882274"/>
        <n v="0.78884819846426457"/>
        <n v="0.58635926739580513"/>
        <n v="0.77111716621253401"/>
        <n v="0.62270450751252082"/>
        <n v="0.56638724933486606"/>
        <n v="0.68601034763399604"/>
        <n v="0.68714518516940581"/>
        <n v="0.72231170302841241"/>
        <n v="0.64139384174088565"/>
        <n v="0.57738716322872352"/>
        <n v="0.72331300229141748"/>
        <n v="0.62024688636614134"/>
        <n v="0.66863865011865964"/>
        <n v="0.61366805368017852"/>
        <n v="0.66918973005378224"/>
        <n v="0.55886643050635554"/>
        <n v="0.71394609207283133"/>
        <n v="0.68372531718745244"/>
        <n v="0.74111396115793327"/>
        <n v="0.70010721396844844"/>
        <n v="0.70180410966370521"/>
        <n v="0.70034459653489045"/>
        <n v="0.73295072686862262"/>
        <n v="0.83511935651271407"/>
        <n v="0.72949778678383137"/>
        <n v="0.7243708094451462"/>
        <n v="0.75668408113091579"/>
        <n v="0.65772669220945079"/>
        <n v="0.73192113669543091"/>
        <n v="0.68534764349043398"/>
        <n v="0.72602914042119993"/>
        <n v="0.54134810422842872"/>
        <n v="0.69011725293132331"/>
        <n v="0.66422269168634274"/>
        <n v="0.74496234479951151"/>
        <n v="0.71325964036472922"/>
        <n v="0.77019962810932185"/>
        <n v="0.80525386549676314"/>
        <n v="0.57911163956006628"/>
        <n v="0.77866247082800932"/>
        <n v="0.79619439507194856"/>
        <n v="0.82424696742537817"/>
        <n v="0.82710760795065108"/>
        <n v="0.60240661820005015"/>
        <n v="0.65013412766245526"/>
        <n v="0.60034952329866942"/>
        <n v="0.60090090986424172"/>
        <n v="0.77920685959271163"/>
        <n v="0.73480316839954052"/>
        <n v="0.645231816953034"/>
        <n v="0.75852459846987885"/>
        <n v="0.67351606148155174"/>
        <n v="0.6488914869663116"/>
        <n v="0.43790526770826899"/>
        <n v="0.6945931522156068"/>
        <n v="0.6982554897639468"/>
        <n v="0.65680933852140078"/>
        <n v="0.71713302833634784"/>
        <n v="0.80911655792629167"/>
        <n v="0.74614900974536313"/>
        <n v="0.65938883646657476"/>
        <n v="0.69411764705882351"/>
        <n v="0.71375954892688254"/>
        <n v="0.64471522700604744"/>
        <n v="0.65713658964609534"/>
        <n v="0.75871924869849261"/>
        <n v="0.64902519835676953"/>
        <n v="0.79196316450397652"/>
        <n v="0.75820366040474074"/>
        <n v="0.38238702201622249"/>
        <n v="0.78997322949622784"/>
        <n v="0.76200070696359135"/>
        <n v="0.67992066197663248"/>
        <n v="0.81765033407572385"/>
        <n v="0.80124673818498116"/>
        <n v="0.70003717412034716"/>
        <n v="0.81813823275087116"/>
        <n v="0.67424172470269195"/>
        <n v="0.70782212870117878"/>
        <n v="0.66305329719963868"/>
        <n v="0.72340425531914898"/>
        <n v="0.80079709629207885"/>
        <n v="0.64297122007907503"/>
        <n v="0.7015439936238439"/>
        <n v="0.74138139591145513"/>
        <n v="0.73382366632529561"/>
        <n v="0.65892187245147615"/>
        <n v="0.81381798002219752"/>
        <n v="0.72078242236881152"/>
        <n v="0.78579648199901364"/>
        <n v="0.71145595741455114"/>
        <n v="0.62324620753507587"/>
        <n v="0.67137994239329668"/>
        <n v="0.74128055350762778"/>
        <n v="0.66102732483721971"/>
        <n v="0.63444025388648695"/>
        <n v="0.70145446014896484"/>
        <n v="0.81011198706713805"/>
        <n v="0.6932974595504795"/>
        <n v="0.75409281558652419"/>
        <n v="0.7507641894700805"/>
        <n v="0.70522272318533163"/>
        <n v="0.62942141752314251"/>
        <n v="0.70675117737745774"/>
        <n v="0.71564153277376696"/>
        <n v="0.79288806019844171"/>
        <n v="0.72490751410030929"/>
        <n v="0.73107495056287242"/>
        <n v="0.7231799998931846"/>
        <n v="0.68070351252227379"/>
        <n v="0.77490240523863496"/>
        <n v="0.85607389599982675"/>
        <n v="0.80166603077705711"/>
        <n v="0.78028095610356996"/>
        <n v="0.67655137325796688"/>
        <n v="0.77264224875155163"/>
        <n v="0.69754074031173308"/>
        <n v="0.74532561977475931"/>
        <n v="0.75294705116544502"/>
        <n v="0.80632621266141358"/>
        <n v="0.6746686919385374"/>
        <n v="0.72584189215879913"/>
        <n v="0.75561038655857127"/>
        <n v="0.74819166443415364"/>
        <n v="0.65877535777638474"/>
        <n v="0.78665560777808496"/>
        <n v="0.79729771751974621"/>
        <n v="0.73628098672646825"/>
        <n v="0.58464046256996982"/>
        <n v="0.7490349693653624"/>
        <n v="0.6888896292841119"/>
        <n v="0.78994042944736609"/>
        <n v="0.7497752947604025"/>
        <n v="0.67755354360116937"/>
        <n v="0.7357793878379234"/>
        <n v="0.7507929040775756"/>
        <n v="0.80364642015773835"/>
        <n v="0.75376675598925569"/>
        <n v="0.82763986013986013"/>
        <n v="0.76750896792725054"/>
        <n v="0.79858768517455214"/>
        <n v="0.82136138965498662"/>
        <n v="0.76294093146939779"/>
        <n v="0.77213469046291128"/>
        <n v="0.81349139175719676"/>
        <n v="0.85833551409623865"/>
        <n v="0.75395365585433027"/>
        <n v="0.67145257112541734"/>
        <n v="0.66984109095007327"/>
      </sharedItems>
    </cacheField>
    <cacheField name="full_time_share" numFmtId="0">
      <sharedItems containsSemiMixedTypes="0" containsString="0" containsNumber="1" minValue="0.48983014489362109" maxValue="1.0351515151515152" count="173">
        <n v="0.82085434096071808"/>
        <n v="0.83575099199895919"/>
        <n v="0.86660841153451618"/>
        <n v="0.79994333370289616"/>
        <n v="0.73618424859672471"/>
        <n v="0.81019304284377325"/>
        <n v="0.82054405196914337"/>
        <n v="0.79380475594493116"/>
        <n v="0.74470902490810709"/>
        <n v="0.82136932902048598"/>
        <n v="0.76732335411074204"/>
        <n v="0.75204133413295193"/>
        <n v="0.66664028074619386"/>
        <n v="0.75343621315903964"/>
        <n v="0.74865951316316726"/>
        <n v="0.73611811771883107"/>
        <n v="0.75662843461097584"/>
        <n v="0.75109355157330326"/>
        <n v="0.87034016348374321"/>
        <n v="0.82122831610303137"/>
        <n v="0.85477747374964197"/>
        <n v="0.86762158661304656"/>
        <n v="0.86992523017981838"/>
        <n v="0.81581992693608041"/>
        <n v="0.77213370073080145"/>
        <n v="0.70151465047120221"/>
        <n v="0.79280436877610028"/>
        <n v="0.73257372654155495"/>
        <n v="0.6123874624264547"/>
        <n v="0.62483316738342898"/>
        <n v="0.70446208058199256"/>
        <n v="0.62694341618191429"/>
        <n v="0.68509827738515905"/>
        <n v="0.68669199759047306"/>
        <n v="0.66143601300428545"/>
        <n v="0.6553531763660595"/>
        <n v="0.64349155132886138"/>
        <n v="0.6075691307354486"/>
        <n v="0.61070256962212954"/>
        <n v="0.72446729179557967"/>
        <n v="0.86872863140779344"/>
        <n v="0.85642132431470275"/>
        <n v="0.76724351050679851"/>
        <n v="0.8152847662801721"/>
        <n v="0.71466293880086984"/>
        <n v="0.83074025983887256"/>
        <n v="0.83904866625321972"/>
        <n v="0.86238368209286786"/>
        <n v="0.86193299521394384"/>
        <n v="0.82212086659064998"/>
        <n v="0.82282465224895929"/>
        <n v="0.81310679611650483"/>
        <n v="0.83945375371520548"/>
        <n v="0.80826581330428271"/>
        <n v="0.85752486339639089"/>
        <n v="0.78714512177547202"/>
        <n v="0.86556094929881333"/>
        <n v="0.86304957904583723"/>
        <n v="0.88442622950819672"/>
        <n v="0.83102413940865594"/>
        <n v="0.84712795517696893"/>
        <n v="0.85213607069297725"/>
        <n v="0.8104124656278644"/>
        <n v="0.87007879355004947"/>
        <n v="0.87561352272901027"/>
        <n v="0.87941298057048367"/>
        <n v="0.86978548693899849"/>
        <n v="0.66644764220163388"/>
        <n v="0.64729196766761687"/>
        <n v="0.66422642379525021"/>
        <n v="0.63814806382846612"/>
        <n v="0.84497936726272349"/>
        <n v="0.75628819099047895"/>
        <n v="0.68026695557229555"/>
        <n v="0.65967537238661411"/>
        <n v="0.73294281508994108"/>
        <n v="0.64929431784057923"/>
        <n v="0.61063319701029473"/>
        <n v="0.72509557024005322"/>
        <n v="0.70546069893904251"/>
        <n v="0.68214131839724257"/>
        <n v="0.66099599426338951"/>
        <n v="0.69949329846355013"/>
        <n v="0.73688645460290714"/>
        <n v="0.74831579410858173"/>
        <n v="0.74087905774202811"/>
        <n v="0.64365802382620885"/>
        <n v="0.73226185809486477"/>
        <n v="0.60598642483587406"/>
        <n v="0.74033545609471707"/>
        <n v="0.74701497319349808"/>
        <n v="0.80001321353065535"/>
        <n v="0.76924712888132707"/>
        <n v="1.0351515151515152"/>
        <n v="0.72923318209824683"/>
        <n v="0.63782066150206429"/>
        <n v="0.64068553717124754"/>
        <n v="0.85784814436499834"/>
        <n v="0.65840419757553825"/>
        <n v="0.71753786479497594"/>
        <n v="0.71243150099587349"/>
        <n v="0.68785589689621862"/>
        <n v="0.73777961135008219"/>
        <n v="0.8448569482288828"/>
        <n v="0.7197058823529412"/>
        <n v="0.80856736580163524"/>
        <n v="0.77398965038495515"/>
        <n v="0.78287405215461436"/>
        <n v="0.81905694240496008"/>
        <n v="0.82567876173560006"/>
        <n v="0.75265170736537246"/>
        <n v="0.76798499829526079"/>
        <n v="0.77459711276303977"/>
        <n v="0.75711297071129702"/>
        <n v="0.69783985285844441"/>
        <n v="0.65855330819334934"/>
        <n v="0.64294071762870519"/>
        <n v="0.67997857853262944"/>
        <n v="0.7266374810574171"/>
        <n v="0.75772074815137014"/>
        <n v="0.65582542535847166"/>
        <n v="0.84386234061388821"/>
        <n v="0.82531217825180181"/>
        <n v="0.73526509374719651"/>
        <n v="0.73220741995374738"/>
        <n v="0.72871544021929879"/>
        <n v="0.71148256720513936"/>
        <n v="0.80415205268131618"/>
        <n v="0.64498676744890082"/>
        <n v="0.81907817381664261"/>
        <n v="0.75378566050363927"/>
        <n v="0.74413054239445586"/>
        <n v="0.77868840352269997"/>
        <n v="0.73287032802379926"/>
        <n v="0.76736816445925082"/>
        <n v="0.83379925368414398"/>
        <n v="0.82914253985880859"/>
        <n v="0.84521424089703889"/>
        <n v="0.66349580448675705"/>
        <n v="0.60352703393030327"/>
        <n v="0.60269636333444043"/>
        <n v="0.57129300695897611"/>
        <n v="0.70180272645928732"/>
        <n v="0.64377479075902688"/>
        <n v="0.63608777224895996"/>
        <n v="0.6282929981802412"/>
        <n v="0.59119888042295132"/>
        <n v="0.68730658073096496"/>
        <n v="0.52811127082785014"/>
        <n v="0.78835520149953142"/>
        <n v="0.48983014489362109"/>
        <n v="0.75838622313321646"/>
        <n v="0.6916197590614972"/>
        <n v="0.7147455214598053"/>
        <n v="0.71929258895032966"/>
        <n v="0.64323154628616186"/>
        <n v="0.67959476294572552"/>
        <n v="0.67812203003231319"/>
        <n v="0.82521451911411792"/>
        <n v="0.81973836393240129"/>
        <n v="0.87687993882232984"/>
        <n v="0.8237281886919714"/>
        <n v="0.86825373355019964"/>
        <n v="0.83595191694117243"/>
        <n v="0.79192472967279881"/>
        <n v="0.8365720812129761"/>
        <n v="0.81513728399554863"/>
        <n v="0.76764028712022025"/>
        <n v="0.74972000024480856"/>
        <n v="0.87931855024613692"/>
        <n v="0.79517496869796445"/>
        <n v="0.74028251563492864"/>
        <n v="0.69016572726507952"/>
      </sharedItems>
    </cacheField>
    <cacheField name="salary_spread" numFmtId="0">
      <sharedItems containsSemiMixedTypes="0" containsString="0" containsNumber="1" containsInteger="1" minValue="16800" maxValue="135000" count="78">
        <n v="46000"/>
        <n v="44000"/>
        <n v="58000"/>
        <n v="42000"/>
        <n v="51500"/>
        <n v="40000"/>
        <n v="48600"/>
        <n v="37000"/>
        <n v="39500"/>
        <n v="37900"/>
        <n v="53100"/>
        <n v="39000"/>
        <n v="45000"/>
        <n v="38000"/>
        <n v="41000"/>
        <n v="40500"/>
        <n v="54000"/>
        <n v="48800"/>
        <n v="33800"/>
        <n v="27000"/>
        <n v="34250"/>
        <n v="16800"/>
        <n v="19000"/>
        <n v="26000"/>
        <n v="32500"/>
        <n v="18800"/>
        <n v="31000"/>
        <n v="21000"/>
        <n v="22000"/>
        <n v="24000"/>
        <n v="35400"/>
        <n v="50000"/>
        <n v="52000"/>
        <n v="51000"/>
        <n v="56000"/>
        <n v="60000"/>
        <n v="47000"/>
        <n v="55000"/>
        <n v="70000"/>
        <n v="72000"/>
        <n v="65000"/>
        <n v="63000"/>
        <n v="135000"/>
        <n v="53000"/>
        <n v="57000"/>
        <n v="44100"/>
        <n v="48000"/>
        <n v="35500"/>
        <n v="30000"/>
        <n v="36000"/>
        <n v="42100"/>
        <n v="36200"/>
        <n v="25000"/>
        <n v="49000"/>
        <n v="43000"/>
        <n v="39300"/>
        <n v="59000"/>
        <n v="50250"/>
        <n v="23000"/>
        <n v="35000"/>
        <n v="83000"/>
        <n v="61500"/>
        <n v="34000"/>
        <n v="29000"/>
        <n v="66000"/>
        <n v="51300"/>
        <n v="35900"/>
        <n v="68000"/>
        <n v="39700"/>
        <n v="55500"/>
        <n v="33000"/>
        <n v="32000"/>
        <n v="33100"/>
        <n v="37200"/>
        <n v="57500"/>
        <n v="62000"/>
        <n v="46500"/>
        <n v="41400"/>
      </sharedItems>
    </cacheField>
    <cacheField name="ShareWomen" numFmtId="0">
      <sharedItems containsSemiMixedTypes="0" containsString="0" containsNumber="1" minValue="0" maxValue="0.96895368299999995" count="173">
        <n v="0.51554332899999999"/>
        <n v="0.59420764999999998"/>
        <n v="0.58971190200000001"/>
        <n v="0.91093257000000005"/>
        <n v="0.222695002"/>
        <n v="0.606888545"/>
        <n v="0.76442652799999999"/>
        <n v="0.71997408299999999"/>
        <n v="0.58455613299999998"/>
        <n v="0.69036528799999997"/>
        <n v="0.56463933499999996"/>
        <n v="0.32176966299999998"/>
        <n v="0.75806026900000001"/>
        <n v="0.30510948900000001"/>
        <n v="0.71985895200000005"/>
        <n v="0.87722752800000003"/>
        <n v="0.67314339199999995"/>
        <n v="0.86445607899999999"/>
        <n v="0.70771850199999997"/>
        <n v="0.26919385800000001"/>
        <n v="0.57876633799999999"/>
        <n v="0.52647576399999996"/>
        <n v="0.180882718"/>
        <n v="0.30500459699999999"/>
        <n v="0.38371900599999997"/>
        <n v="0.812876606"/>
        <n v="0.448732309"/>
        <n v="0.56486557000000004"/>
        <n v="0.92374547900000004"/>
        <n v="0.79209526200000002"/>
        <n v="0.50672076300000002"/>
        <n v="0.96799811899999999"/>
        <n v="0.423208896"/>
        <n v="0.60175182500000002"/>
        <n v="0.36617687799999998"/>
        <n v="0.73396758299999998"/>
        <n v="0.79891981700000003"/>
        <n v="0.57636006100000003"/>
        <n v="0.68602439999999998"/>
        <n v="0.71836476599999999"/>
        <n v="0.25295983799999999"/>
        <n v="0.19645025599999999"/>
        <n v="0.32078431400000001"/>
        <n v="0.350442478"/>
        <n v="0.11955890299999999"/>
        <n v="0.341630502"/>
        <n v="0.22711794299999999"/>
        <n v="0.199412643"/>
        <n v="0.437846874"/>
        <n v="0.18398518899999999"/>
        <n v="0.55854800900000001"/>
        <n v="0.32483804999999999"/>
        <n v="0.34347321800000002"/>
        <n v="0.292607004"/>
        <n v="0.13979280099999999"/>
        <n v="0.153037383"/>
        <n v="0.10185185200000001"/>
        <n v="0.107313196"/>
        <n v="0.144966965"/>
        <n v="0.120564344"/>
        <n v="0.18997043699999999"/>
        <n v="9.0712508999999997E-2"/>
        <n v="0.17412250500000001"/>
        <n v="0.32509188100000003"/>
        <n v="0.75047258999999999"/>
        <n v="0.37743732600000002"/>
        <n v="0"/>
        <n v="0.76432029000000001"/>
        <n v="0.72803259099999995"/>
        <n v="0.69011067500000001"/>
        <n v="0.75214388399999998"/>
        <n v="0.236062718"/>
        <n v="0.59100101100000002"/>
        <n v="0.33967098200000001"/>
        <n v="0.666119448"/>
        <n v="0.70089842999999996"/>
        <n v="0.74566153800000001"/>
        <n v="0.87795992700000003"/>
        <n v="0.60185815200000004"/>
        <n v="0.51540644899999999"/>
        <n v="0.52896915"/>
        <n v="7.7453026999999994E-2"/>
        <n v="0.65165990799999995"/>
        <n v="0.64333112100000001"/>
        <n v="0.61572722700000004"/>
        <n v="0.52415258300000001"/>
        <n v="0.90667733699999997"/>
        <n v="0.63729337600000002"/>
        <n v="0.47501047000000002"/>
        <n v="0.56664050200000005"/>
        <n v="0.244103081"/>
        <n v="0.75392736000000005"/>
        <n v="0.281936407"/>
        <n v="0.42968496299999998"/>
        <n v="0.49539715299999998"/>
        <n v="0.50737696799999998"/>
        <n v="0.63814682"/>
        <n v="0.92780724599999997"/>
        <n v="0.85452322700000005"/>
        <n v="0.72186591300000003"/>
        <n v="0.68394261899999997"/>
        <n v="0.41680957400000002"/>
        <n v="0.72849462399999998"/>
        <n v="0.42692372000000001"/>
        <n v="0.441355573"/>
        <n v="0.12495049499999999"/>
        <n v="0.50514053800000003"/>
        <n v="0.47019686500000002"/>
        <n v="0.88129388900000005"/>
        <n v="0.68899917300000002"/>
        <n v="0.44809867799999997"/>
        <n v="0.31082028499999997"/>
        <n v="0.66999850500000002"/>
        <n v="0.43053676099999999"/>
        <n v="0.77993320399999999"/>
        <n v="0.81709880899999998"/>
        <n v="0.79985905599999996"/>
        <n v="0.79874621700000004"/>
        <n v="0.43630163300000002"/>
        <n v="0.74756092600000001"/>
        <n v="0.90558992999999999"/>
        <n v="0.12503465499999999"/>
        <n v="0.47646118300000001"/>
        <n v="0.251388889"/>
        <n v="0.90407454399999998"/>
        <n v="0.81070414700000004"/>
        <n v="0.50284631499999999"/>
        <n v="0.34082495699999998"/>
        <n v="0.96895368299999995"/>
        <n v="0.61822302799999995"/>
        <n v="0.47318952399999997"/>
        <n v="0.632986838"/>
        <n v="0.48592987700000001"/>
        <n v="0.53233378799999997"/>
        <n v="0.54340542199999997"/>
        <n v="0.34222881100000002"/>
        <n v="0.23244353200000001"/>
        <n v="0.32129606700000002"/>
        <n v="0.66703385299999995"/>
        <n v="0.62950456399999999"/>
        <n v="0.44458228500000002"/>
        <n v="0.69738424499999996"/>
        <n v="0.37435562300000003"/>
        <n v="0.68699295199999999"/>
        <n v="0.84593437900000001"/>
        <n v="0.584776403"/>
        <n v="0.41017964099999998"/>
        <n v="0.77457662400000005"/>
        <n v="0.70713623699999995"/>
        <n v="0.77090110599999995"/>
        <n v="0.17898193800000001"/>
        <n v="0.43429844099999998"/>
        <n v="0.55660377400000005"/>
        <n v="0.89601898800000002"/>
        <n v="0.45146488600000001"/>
        <n v="0.64"/>
        <n v="0.65212981699999995"/>
        <n v="0.70202020200000004"/>
        <n v="0.41792479999999999"/>
        <n v="0.25358330200000001"/>
        <n v="0.53571428600000004"/>
        <n v="0.58094800400000002"/>
        <n v="0.322222222"/>
        <n v="0.24919024000000001"/>
        <n v="0.38290043299999998"/>
        <n v="0.35546905899999998"/>
        <n v="0.67216144300000003"/>
        <n v="0.28290282900000002"/>
        <n v="0.73399192800000002"/>
        <n v="0.27879014600000002"/>
        <n v="0.20002271699999999"/>
        <n v="0.65174129400000003"/>
        <n v="0.63071631800000005"/>
      </sharedItems>
    </cacheField>
    <cacheField name="College_jobs" numFmtId="0">
      <sharedItems containsSemiMixedTypes="0" containsString="0" containsNumber="1" containsInteger="1" minValue="0" maxValue="151643"/>
    </cacheField>
    <cacheField name="Non_college_jobs" numFmtId="0">
      <sharedItems containsSemiMixedTypes="0" containsString="0" containsNumber="1" containsInteger="1" minValue="0" maxValue="148395"/>
    </cacheField>
    <cacheField name="Low_wage_jobs" numFmtId="0">
      <sharedItems containsSemiMixedTypes="0" containsString="0" containsNumber="1" containsInteger="1" minValue="0" maxValue="48207" count="166">
        <n v="839"/>
        <n v="1362"/>
        <n v="94"/>
        <n v="2125"/>
        <n v="485"/>
        <n v="1231"/>
        <n v="0"/>
        <n v="31"/>
        <n v="3175"/>
        <n v="327"/>
        <n v="1405"/>
        <n v="4221"/>
        <n v="3677"/>
        <n v="27440"/>
        <n v="8512"/>
        <n v="6429"/>
        <n v="7214"/>
        <n v="2495"/>
        <n v="1672"/>
        <n v="263"/>
        <n v="5144"/>
        <n v="608"/>
        <n v="308"/>
        <n v="352"/>
        <n v="3163"/>
        <n v="11443"/>
        <n v="111"/>
        <n v="11502"/>
        <n v="786"/>
        <n v="2042"/>
        <n v="2868"/>
        <n v="591"/>
        <n v="1385"/>
        <n v="1179"/>
        <n v="1806"/>
        <n v="722"/>
        <n v="2819"/>
        <n v="2767"/>
        <n v="657"/>
        <n v="3192"/>
        <n v="372"/>
        <n v="524"/>
        <n v="137"/>
        <n v="789"/>
        <n v="972"/>
        <n v="2899"/>
        <n v="980"/>
        <n v="3170"/>
        <n v="260"/>
        <n v="49"/>
        <n v="640"/>
        <n v="70"/>
        <n v="3253"/>
        <n v="50"/>
        <n v="244"/>
        <n v="193"/>
        <n v="365"/>
        <n v="142"/>
        <n v="245"/>
        <n v="696"/>
        <n v="480"/>
        <n v="406"/>
        <n v="386"/>
        <n v="2085"/>
        <n v="5267"/>
        <n v="1115"/>
        <n v="5248"/>
        <n v="144"/>
        <n v="1336"/>
        <n v="26503"/>
        <n v="3466"/>
        <n v="9030"/>
        <n v="1141"/>
        <n v="192"/>
        <n v="28339"/>
        <n v="3012"/>
        <n v="56"/>
        <n v="1168"/>
        <n v="976"/>
        <n v="201"/>
        <n v="1246"/>
        <n v="93"/>
        <n v="2237"/>
        <n v="743"/>
        <n v="902"/>
        <n v="459"/>
        <n v="4569"/>
        <n v="357"/>
        <n v="343"/>
        <n v="1061"/>
        <n v="3168"/>
        <n v="2449"/>
        <n v="25"/>
        <n v="135"/>
        <n v="1470"/>
        <n v="16838"/>
        <n v="8051"/>
        <n v="3304"/>
        <n v="269"/>
        <n v="220"/>
        <n v="237"/>
        <n v="4288"/>
        <n v="959"/>
        <n v="221"/>
        <n v="186"/>
        <n v="1823"/>
        <n v="81"/>
        <n v="5751"/>
        <n v="124"/>
        <n v="48207"/>
        <n v="82"/>
        <n v="622"/>
        <n v="272"/>
        <n v="37"/>
        <n v="1650"/>
        <n v="18404"/>
        <n v="496"/>
        <n v="340"/>
        <n v="724"/>
        <n v="4344"/>
        <n v="1634"/>
        <n v="10653"/>
        <n v="6866"/>
        <n v="1895"/>
        <n v="1905"/>
        <n v="2499"/>
        <n v="19803"/>
        <n v="13748"/>
        <n v="573"/>
        <n v="703"/>
        <n v="557"/>
        <n v="11880"/>
        <n v="11068"/>
        <n v="9286"/>
        <n v="2840"/>
        <n v="14839"/>
        <n v="5862"/>
        <n v="3426"/>
        <n v="3586"/>
        <n v="755"/>
        <n v="3816"/>
        <n v="5125"/>
        <n v="1391"/>
        <n v="1270"/>
        <n v="1002"/>
        <n v="1159"/>
        <n v="6193"/>
        <n v="1121"/>
        <n v="4468"/>
        <n v="1854"/>
        <n v="1422"/>
        <n v="27320"/>
        <n v="10886"/>
        <n v="259"/>
        <n v="32395"/>
        <n v="285"/>
        <n v="1284"/>
        <n v="27968"/>
        <n v="9910"/>
        <n v="1906"/>
        <n v="3046"/>
        <n v="9063"/>
        <n v="708"/>
        <n v="1758"/>
        <n v="16839"/>
        <n v="302"/>
      </sharedItems>
    </cacheField>
    <cacheField name="Grad_median" numFmtId="0">
      <sharedItems containsSemiMixedTypes="0" containsString="0" containsNumber="1" containsInteger="1" minValue="47000" maxValue="135000" count="60">
        <n v="68000"/>
        <n v="67000"/>
        <n v="80000"/>
        <n v="70300"/>
        <n v="72000"/>
        <n v="65000"/>
        <n v="54000"/>
        <n v="78000"/>
        <n v="70000"/>
        <n v="75000"/>
        <n v="57000"/>
        <n v="60000"/>
        <n v="85000"/>
        <n v="95000"/>
        <n v="84000"/>
        <n v="81000"/>
        <n v="47000"/>
        <n v="58000"/>
        <n v="56000"/>
        <n v="55000"/>
        <n v="50000"/>
        <n v="62000"/>
        <n v="61000"/>
        <n v="59000"/>
        <n v="100000"/>
        <n v="107000"/>
        <n v="90000"/>
        <n v="102000"/>
        <n v="98000"/>
        <n v="97000"/>
        <n v="106000"/>
        <n v="105000"/>
        <n v="92000"/>
        <n v="110000"/>
        <n v="124000"/>
        <n v="74000"/>
        <n v="84500"/>
        <n v="76000"/>
        <n v="52000"/>
        <n v="96000"/>
        <n v="89000"/>
        <n v="66000"/>
        <n v="48000"/>
        <n v="82000"/>
        <n v="86000"/>
        <n v="64000"/>
        <n v="71000"/>
        <n v="50100"/>
        <n v="53000"/>
        <n v="69000"/>
        <n v="73000"/>
        <n v="58600"/>
        <n v="50750"/>
        <n v="79000"/>
        <n v="135000"/>
        <n v="111000"/>
        <n v="68500"/>
        <n v="88000"/>
        <n v="77000"/>
        <n v="94000"/>
      </sharedItems>
    </cacheField>
    <cacheField name="Nongrad_median" numFmtId="0">
      <sharedItems containsSemiMixedTypes="0" containsString="0" containsNumber="1" containsInteger="1" minValue="37000" maxValue="126000"/>
    </cacheField>
    <cacheField name="salary_premium" numFmtId="0">
      <sharedItems containsSemiMixedTypes="0" containsString="0" containsNumber="1" containsInteger="1" minValue="-2000" maxValue="84000" count="49">
        <n v="18000"/>
        <n v="12000"/>
        <n v="17000"/>
        <n v="22300"/>
        <n v="9000"/>
        <n v="0"/>
        <n v="-1000"/>
        <n v="13000"/>
        <n v="19000"/>
        <n v="8000"/>
        <n v="25000"/>
        <n v="7000"/>
        <n v="5000"/>
        <n v="15000"/>
        <n v="14000"/>
        <n v="21000"/>
        <n v="22000"/>
        <n v="5400"/>
        <n v="16000"/>
        <n v="14800"/>
        <n v="11000"/>
        <n v="-2000"/>
        <n v="20000"/>
        <n v="30000"/>
        <n v="9100"/>
        <n v="2000"/>
        <n v="10000"/>
        <n v="32000"/>
        <n v="14500"/>
        <n v="26000"/>
        <n v="41000"/>
        <n v="35000"/>
        <n v="13300"/>
        <n v="39000"/>
        <n v="40000"/>
        <n v="55000"/>
        <n v="24000"/>
        <n v="6000"/>
        <n v="27000"/>
        <n v="11400"/>
        <n v="13600"/>
        <n v="19500"/>
        <n v="12750"/>
        <n v="84000"/>
        <n v="4000"/>
        <n v="18500"/>
        <n v="23000"/>
        <n v="34000"/>
        <n v="28000"/>
      </sharedItems>
    </cacheField>
    <cacheField name="Total_ws_men" numFmtId="0">
      <sharedItems containsString="0" containsBlank="1" containsNumber="1" containsInteger="1" minValue="609" maxValue="280709"/>
    </cacheField>
    <cacheField name="Men" numFmtId="0">
      <sharedItems containsString="0" containsBlank="1" containsNumber="1" containsInteger="1" minValue="488" maxValue="111762"/>
    </cacheField>
    <cacheField name="Women" numFmtId="0">
      <sharedItems containsString="0" containsBlank="1" containsNumber="1" containsInteger="1" minValue="77" maxValue="187621"/>
    </cacheField>
    <cacheField name="Major_Category.1" numFmtId="0">
      <sharedItems/>
    </cacheField>
  </cacheFields>
  <extLst>
    <ext xmlns:x14="http://schemas.microsoft.com/office/spreadsheetml/2009/9/main" uri="{725AE2AE-9491-48be-B2B4-4EB974FC3084}">
      <x14:pivotCacheDefinition pivotCacheId="2087452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
  <r>
    <n v="1100"/>
    <x v="0"/>
    <x v="0"/>
    <n v="128148"/>
    <n v="90245"/>
    <n v="74078"/>
    <n v="2423"/>
    <x v="0"/>
    <x v="0"/>
    <n v="34000"/>
    <n v="80000"/>
    <x v="0"/>
    <x v="0"/>
    <x v="0"/>
    <x v="0"/>
    <n v="2418"/>
    <n v="4717"/>
    <x v="0"/>
    <x v="0"/>
    <n v="50000"/>
    <x v="0"/>
    <m/>
    <m/>
    <m/>
    <s v="Agriculture &amp; Natural Resources"/>
  </r>
  <r>
    <n v="1101"/>
    <x v="1"/>
    <x v="0"/>
    <n v="95326"/>
    <n v="76865"/>
    <n v="64240"/>
    <n v="2266"/>
    <x v="1"/>
    <x v="1"/>
    <n v="36000"/>
    <n v="80000"/>
    <x v="1"/>
    <x v="1"/>
    <x v="1"/>
    <x v="1"/>
    <n v="1925"/>
    <n v="6221"/>
    <x v="1"/>
    <x v="1"/>
    <n v="55000"/>
    <x v="1"/>
    <m/>
    <m/>
    <m/>
    <s v="Agriculture &amp; Natural Resources"/>
  </r>
  <r>
    <n v="1102"/>
    <x v="2"/>
    <x v="0"/>
    <n v="33955"/>
    <n v="26321"/>
    <n v="22810"/>
    <n v="821"/>
    <x v="2"/>
    <x v="2"/>
    <n v="40000"/>
    <n v="98000"/>
    <x v="2"/>
    <x v="2"/>
    <x v="2"/>
    <x v="2"/>
    <n v="535"/>
    <n v="893"/>
    <x v="2"/>
    <x v="2"/>
    <n v="63000"/>
    <x v="2"/>
    <m/>
    <m/>
    <m/>
    <s v="Agriculture &amp; Natural Resources"/>
  </r>
  <r>
    <n v="1103"/>
    <x v="3"/>
    <x v="0"/>
    <n v="103549"/>
    <n v="81177"/>
    <n v="64937"/>
    <n v="3619"/>
    <x v="3"/>
    <x v="3"/>
    <n v="30000"/>
    <n v="72000"/>
    <x v="3"/>
    <x v="3"/>
    <x v="3"/>
    <x v="3"/>
    <n v="5443"/>
    <n v="9571"/>
    <x v="3"/>
    <x v="3"/>
    <n v="48000"/>
    <x v="3"/>
    <m/>
    <m/>
    <m/>
    <s v="Agriculture &amp; Natural Resources"/>
  </r>
  <r>
    <n v="1104"/>
    <x v="4"/>
    <x v="0"/>
    <n v="24280"/>
    <n v="17281"/>
    <n v="12722"/>
    <n v="894"/>
    <x v="4"/>
    <x v="4"/>
    <n v="38500"/>
    <n v="90000"/>
    <x v="4"/>
    <x v="4"/>
    <x v="4"/>
    <x v="4"/>
    <n v="1183"/>
    <n v="1274"/>
    <x v="4"/>
    <x v="4"/>
    <n v="63000"/>
    <x v="4"/>
    <m/>
    <m/>
    <m/>
    <s v="Agriculture &amp; Natural Resources"/>
  </r>
  <r>
    <n v="1105"/>
    <x v="5"/>
    <x v="0"/>
    <n v="79409"/>
    <n v="63043"/>
    <n v="51077"/>
    <n v="2070"/>
    <x v="5"/>
    <x v="0"/>
    <n v="35000"/>
    <n v="75000"/>
    <x v="5"/>
    <x v="5"/>
    <x v="5"/>
    <x v="5"/>
    <n v="2089"/>
    <n v="3545"/>
    <x v="5"/>
    <x v="1"/>
    <n v="50000"/>
    <x v="2"/>
    <m/>
    <m/>
    <m/>
    <s v="Agriculture &amp; Natural Resources"/>
  </r>
  <r>
    <n v="1106"/>
    <x v="6"/>
    <x v="0"/>
    <n v="6586"/>
    <n v="4926"/>
    <n v="4042"/>
    <n v="264"/>
    <x v="6"/>
    <x v="2"/>
    <n v="39400"/>
    <n v="88000"/>
    <x v="6"/>
    <x v="6"/>
    <x v="6"/>
    <x v="6"/>
    <n v="355"/>
    <n v="144"/>
    <x v="6"/>
    <x v="5"/>
    <n v="65000"/>
    <x v="5"/>
    <m/>
    <m/>
    <m/>
    <s v="Agriculture &amp; Natural Resources"/>
  </r>
  <r>
    <n v="1199"/>
    <x v="7"/>
    <x v="0"/>
    <n v="8549"/>
    <n v="6392"/>
    <n v="5074"/>
    <n v="261"/>
    <x v="7"/>
    <x v="5"/>
    <n v="35000"/>
    <n v="75000"/>
    <x v="7"/>
    <x v="7"/>
    <x v="5"/>
    <x v="7"/>
    <n v="483"/>
    <n v="626"/>
    <x v="7"/>
    <x v="6"/>
    <n v="55000"/>
    <x v="6"/>
    <m/>
    <m/>
    <m/>
    <s v="Agriculture &amp; Natural Resources"/>
  </r>
  <r>
    <n v="1301"/>
    <x v="8"/>
    <x v="1"/>
    <n v="106106"/>
    <n v="87602"/>
    <n v="65238"/>
    <n v="4736"/>
    <x v="8"/>
    <x v="5"/>
    <n v="38000"/>
    <n v="75000"/>
    <x v="8"/>
    <x v="8"/>
    <x v="7"/>
    <x v="8"/>
    <n v="8149"/>
    <n v="10076"/>
    <x v="8"/>
    <x v="0"/>
    <n v="55000"/>
    <x v="7"/>
    <n v="25965"/>
    <n v="10787"/>
    <n v="15178"/>
    <s v="Biology &amp; Life Science"/>
  </r>
  <r>
    <n v="1302"/>
    <x v="9"/>
    <x v="0"/>
    <n v="69447"/>
    <n v="48228"/>
    <n v="39613"/>
    <n v="2144"/>
    <x v="9"/>
    <x v="6"/>
    <n v="40500"/>
    <n v="80000"/>
    <x v="9"/>
    <x v="9"/>
    <x v="8"/>
    <x v="9"/>
    <n v="1096"/>
    <n v="1692"/>
    <x v="9"/>
    <x v="7"/>
    <n v="59000"/>
    <x v="8"/>
    <m/>
    <m/>
    <m/>
    <s v="Agriculture &amp; Natural Resources"/>
  </r>
  <r>
    <n v="1303"/>
    <x v="10"/>
    <x v="0"/>
    <n v="83188"/>
    <n v="65937"/>
    <n v="50595"/>
    <n v="3789"/>
    <x v="10"/>
    <x v="5"/>
    <n v="37100"/>
    <n v="75000"/>
    <x v="10"/>
    <x v="10"/>
    <x v="9"/>
    <x v="10"/>
    <n v="4333"/>
    <n v="5808"/>
    <x v="10"/>
    <x v="8"/>
    <n v="53000"/>
    <x v="2"/>
    <m/>
    <m/>
    <m/>
    <s v="Agriculture &amp; Natural Resources"/>
  </r>
  <r>
    <n v="1401"/>
    <x v="11"/>
    <x v="2"/>
    <n v="294692"/>
    <n v="216770"/>
    <n v="163020"/>
    <n v="20394"/>
    <x v="11"/>
    <x v="2"/>
    <n v="40400"/>
    <n v="93500"/>
    <x v="11"/>
    <x v="11"/>
    <x v="10"/>
    <x v="11"/>
    <n v="16178"/>
    <n v="13724"/>
    <x v="11"/>
    <x v="4"/>
    <n v="64000"/>
    <x v="9"/>
    <n v="46420"/>
    <n v="25463"/>
    <n v="20957"/>
    <s v="Engineering"/>
  </r>
  <r>
    <n v="1501"/>
    <x v="12"/>
    <x v="3"/>
    <n v="103740"/>
    <n v="75798"/>
    <n v="50530"/>
    <n v="5525"/>
    <x v="12"/>
    <x v="3"/>
    <n v="32000"/>
    <n v="71000"/>
    <x v="12"/>
    <x v="12"/>
    <x v="11"/>
    <x v="12"/>
    <n v="8465"/>
    <n v="11818"/>
    <x v="12"/>
    <x v="9"/>
    <n v="50000"/>
    <x v="10"/>
    <m/>
    <m/>
    <m/>
    <s v="Humanities &amp; Liberal Arts"/>
  </r>
  <r>
    <n v="1901"/>
    <x v="13"/>
    <x v="4"/>
    <n v="987676"/>
    <n v="790696"/>
    <n v="595739"/>
    <n v="54390"/>
    <x v="13"/>
    <x v="0"/>
    <n v="35000"/>
    <n v="80000"/>
    <x v="13"/>
    <x v="13"/>
    <x v="12"/>
    <x v="13"/>
    <n v="40763"/>
    <n v="97964"/>
    <x v="13"/>
    <x v="5"/>
    <n v="52000"/>
    <x v="7"/>
    <m/>
    <m/>
    <m/>
    <s v="Communications &amp; Journalism"/>
  </r>
  <r>
    <n v="1902"/>
    <x v="14"/>
    <x v="4"/>
    <n v="418104"/>
    <n v="314438"/>
    <n v="235407"/>
    <n v="20754"/>
    <x v="14"/>
    <x v="0"/>
    <n v="35000"/>
    <n v="80000"/>
    <x v="14"/>
    <x v="14"/>
    <x v="12"/>
    <x v="14"/>
    <n v="23279"/>
    <n v="26672"/>
    <x v="14"/>
    <x v="8"/>
    <n v="53000"/>
    <x v="2"/>
    <m/>
    <m/>
    <m/>
    <s v="Communications &amp; Journalism"/>
  </r>
  <r>
    <n v="1903"/>
    <x v="15"/>
    <x v="4"/>
    <n v="211213"/>
    <n v="170474"/>
    <n v="125489"/>
    <n v="15431"/>
    <x v="15"/>
    <x v="7"/>
    <n v="32000"/>
    <n v="70000"/>
    <x v="15"/>
    <x v="15"/>
    <x v="13"/>
    <x v="15"/>
    <n v="12855"/>
    <n v="25297"/>
    <x v="15"/>
    <x v="10"/>
    <n v="50000"/>
    <x v="11"/>
    <m/>
    <m/>
    <m/>
    <s v="Communications &amp; Journalism"/>
  </r>
  <r>
    <n v="1904"/>
    <x v="16"/>
    <x v="4"/>
    <n v="186829"/>
    <n v="147433"/>
    <n v="111552"/>
    <n v="10624"/>
    <x v="16"/>
    <x v="0"/>
    <n v="34000"/>
    <n v="75000"/>
    <x v="16"/>
    <x v="16"/>
    <x v="14"/>
    <x v="16"/>
    <n v="9659"/>
    <n v="23059"/>
    <x v="16"/>
    <x v="11"/>
    <n v="51000"/>
    <x v="4"/>
    <m/>
    <m/>
    <m/>
    <s v="Communications &amp; Journalism"/>
  </r>
  <r>
    <n v="2001"/>
    <x v="17"/>
    <x v="5"/>
    <n v="62141"/>
    <n v="49609"/>
    <n v="37261"/>
    <n v="4609"/>
    <x v="17"/>
    <x v="0"/>
    <n v="34500"/>
    <n v="75000"/>
    <x v="17"/>
    <x v="17"/>
    <x v="15"/>
    <x v="17"/>
    <n v="4545"/>
    <n v="8794"/>
    <x v="17"/>
    <x v="10"/>
    <n v="52000"/>
    <x v="12"/>
    <n v="18035"/>
    <n v="11431"/>
    <n v="6604"/>
    <s v="Computers &amp; Mathematics"/>
  </r>
  <r>
    <n v="2100"/>
    <x v="18"/>
    <x v="5"/>
    <n v="253782"/>
    <n v="218248"/>
    <n v="189950"/>
    <n v="11945"/>
    <x v="18"/>
    <x v="8"/>
    <n v="45000"/>
    <n v="90000"/>
    <x v="18"/>
    <x v="18"/>
    <x v="12"/>
    <x v="18"/>
    <n v="13344"/>
    <n v="11783"/>
    <x v="18"/>
    <x v="2"/>
    <n v="65000"/>
    <x v="13"/>
    <n v="36698"/>
    <n v="27392"/>
    <n v="9306"/>
    <s v="Computers &amp; Mathematics"/>
  </r>
  <r>
    <n v="2101"/>
    <x v="19"/>
    <x v="5"/>
    <n v="29317"/>
    <n v="22828"/>
    <n v="18747"/>
    <n v="2265"/>
    <x v="19"/>
    <x v="9"/>
    <n v="40000"/>
    <n v="85000"/>
    <x v="19"/>
    <x v="19"/>
    <x v="12"/>
    <x v="19"/>
    <n v="2024"/>
    <n v="1033"/>
    <x v="19"/>
    <x v="12"/>
    <n v="60000"/>
    <x v="10"/>
    <n v="4168"/>
    <n v="3046"/>
    <n v="1122"/>
    <s v="Computers &amp; Mathematics"/>
  </r>
  <r>
    <n v="2102"/>
    <x v="20"/>
    <x v="5"/>
    <n v="783292"/>
    <n v="656372"/>
    <n v="561052"/>
    <n v="34196"/>
    <x v="20"/>
    <x v="10"/>
    <n v="51000"/>
    <n v="105000"/>
    <x v="20"/>
    <x v="20"/>
    <x v="16"/>
    <x v="20"/>
    <n v="68622"/>
    <n v="25667"/>
    <x v="20"/>
    <x v="13"/>
    <n v="80000"/>
    <x v="13"/>
    <n v="128319"/>
    <n v="99743"/>
    <n v="28576"/>
    <s v="Computers &amp; Mathematics"/>
  </r>
  <r>
    <n v="2105"/>
    <x v="21"/>
    <x v="5"/>
    <n v="77805"/>
    <n v="66393"/>
    <n v="57604"/>
    <n v="3704"/>
    <x v="21"/>
    <x v="11"/>
    <n v="46200"/>
    <n v="95000"/>
    <x v="21"/>
    <x v="21"/>
    <x v="17"/>
    <x v="21"/>
    <n v="4390"/>
    <n v="4102"/>
    <x v="21"/>
    <x v="14"/>
    <n v="70000"/>
    <x v="14"/>
    <n v="11913"/>
    <n v="9005"/>
    <n v="2908"/>
    <s v="Computers &amp; Mathematics"/>
  </r>
  <r>
    <n v="2106"/>
    <x v="22"/>
    <x v="5"/>
    <n v="39362"/>
    <n v="32366"/>
    <n v="28156"/>
    <n v="2626"/>
    <x v="22"/>
    <x v="12"/>
    <n v="40000"/>
    <n v="80000"/>
    <x v="22"/>
    <x v="22"/>
    <x v="5"/>
    <x v="22"/>
    <n v="2354"/>
    <n v="3244"/>
    <x v="22"/>
    <x v="15"/>
    <n v="60000"/>
    <x v="15"/>
    <n v="8066"/>
    <n v="6607"/>
    <n v="1459"/>
    <s v="Computers &amp; Mathematics"/>
  </r>
  <r>
    <n v="2107"/>
    <x v="23"/>
    <x v="5"/>
    <n v="51771"/>
    <n v="44071"/>
    <n v="35954"/>
    <n v="2748"/>
    <x v="23"/>
    <x v="12"/>
    <n v="36000"/>
    <n v="80000"/>
    <x v="23"/>
    <x v="23"/>
    <x v="1"/>
    <x v="23"/>
    <n v="2593"/>
    <n v="2941"/>
    <x v="23"/>
    <x v="2"/>
    <n v="58000"/>
    <x v="16"/>
    <n v="7613"/>
    <n v="5291"/>
    <n v="2322"/>
    <s v="Computers &amp; Mathematics"/>
  </r>
  <r>
    <n v="2201"/>
    <x v="24"/>
    <x v="6"/>
    <n v="42325"/>
    <n v="33388"/>
    <n v="25780"/>
    <n v="1941"/>
    <x v="24"/>
    <x v="13"/>
    <n v="26200"/>
    <n v="60000"/>
    <x v="24"/>
    <x v="24"/>
    <x v="18"/>
    <x v="24"/>
    <n v="563"/>
    <n v="7384"/>
    <x v="24"/>
    <x v="16"/>
    <n v="41600"/>
    <x v="17"/>
    <m/>
    <m/>
    <m/>
    <s v="Industrial Arts &amp; Consumer Services"/>
  </r>
  <r>
    <n v="2300"/>
    <x v="25"/>
    <x v="7"/>
    <n v="1438867"/>
    <n v="843693"/>
    <n v="591863"/>
    <n v="38742"/>
    <x v="25"/>
    <x v="14"/>
    <n v="32000"/>
    <n v="59000"/>
    <x v="25"/>
    <x v="25"/>
    <x v="19"/>
    <x v="25"/>
    <n v="82007"/>
    <n v="31112"/>
    <x v="25"/>
    <x v="17"/>
    <n v="44000"/>
    <x v="14"/>
    <m/>
    <m/>
    <m/>
    <s v="Education"/>
  </r>
  <r>
    <n v="2301"/>
    <x v="26"/>
    <x v="7"/>
    <n v="4037"/>
    <n v="3113"/>
    <n v="2468"/>
    <n v="0"/>
    <x v="26"/>
    <x v="6"/>
    <n v="44750"/>
    <n v="79000"/>
    <x v="26"/>
    <x v="26"/>
    <x v="20"/>
    <x v="26"/>
    <n v="346"/>
    <n v="206"/>
    <x v="26"/>
    <x v="5"/>
    <n v="58000"/>
    <x v="11"/>
    <m/>
    <m/>
    <m/>
    <s v="Education"/>
  </r>
  <r>
    <n v="2303"/>
    <x v="27"/>
    <x v="7"/>
    <n v="2396"/>
    <n v="1492"/>
    <n v="1093"/>
    <n v="169"/>
    <x v="27"/>
    <x v="15"/>
    <n v="33200"/>
    <n v="50000"/>
    <x v="27"/>
    <x v="27"/>
    <x v="21"/>
    <x v="27"/>
    <n v="509"/>
    <n v="221"/>
    <x v="6"/>
    <x v="18"/>
    <n v="42000"/>
    <x v="14"/>
    <m/>
    <m/>
    <m/>
    <s v="Education"/>
  </r>
  <r>
    <n v="2304"/>
    <x v="28"/>
    <x v="7"/>
    <n v="1446701"/>
    <n v="819393"/>
    <n v="501786"/>
    <n v="32685"/>
    <x v="28"/>
    <x v="13"/>
    <n v="31000"/>
    <n v="50000"/>
    <x v="28"/>
    <x v="28"/>
    <x v="22"/>
    <x v="28"/>
    <n v="108085"/>
    <n v="36972"/>
    <x v="27"/>
    <x v="19"/>
    <n v="40000"/>
    <x v="13"/>
    <m/>
    <m/>
    <m/>
    <s v="Education"/>
  </r>
  <r>
    <n v="2305"/>
    <x v="29"/>
    <x v="7"/>
    <n v="68808"/>
    <n v="47203"/>
    <n v="29494"/>
    <n v="1610"/>
    <x v="29"/>
    <x v="14"/>
    <n v="34000"/>
    <n v="60000"/>
    <x v="29"/>
    <x v="29"/>
    <x v="23"/>
    <x v="29"/>
    <n v="10699"/>
    <n v="1977"/>
    <x v="28"/>
    <x v="11"/>
    <n v="45000"/>
    <x v="13"/>
    <m/>
    <m/>
    <m/>
    <s v="Education"/>
  </r>
  <r>
    <n v="2306"/>
    <x v="30"/>
    <x v="7"/>
    <n v="281661"/>
    <n v="193542"/>
    <n v="136343"/>
    <n v="9389"/>
    <x v="30"/>
    <x v="16"/>
    <n v="34000"/>
    <n v="66500"/>
    <x v="30"/>
    <x v="30"/>
    <x v="24"/>
    <x v="30"/>
    <n v="12777"/>
    <n v="9328"/>
    <x v="29"/>
    <x v="5"/>
    <n v="50000"/>
    <x v="13"/>
    <m/>
    <m/>
    <m/>
    <s v="Education"/>
  </r>
  <r>
    <n v="2307"/>
    <x v="31"/>
    <x v="7"/>
    <n v="157079"/>
    <n v="113460"/>
    <n v="71133"/>
    <n v="5890"/>
    <x v="31"/>
    <x v="17"/>
    <n v="27000"/>
    <n v="45800"/>
    <x v="31"/>
    <x v="31"/>
    <x v="25"/>
    <x v="31"/>
    <n v="23515"/>
    <n v="7705"/>
    <x v="30"/>
    <x v="20"/>
    <n v="37000"/>
    <x v="7"/>
    <m/>
    <m/>
    <m/>
    <s v="Education"/>
  </r>
  <r>
    <n v="2308"/>
    <x v="32"/>
    <x v="7"/>
    <n v="56477"/>
    <n v="36224"/>
    <n v="24817"/>
    <n v="1596"/>
    <x v="32"/>
    <x v="3"/>
    <n v="35000"/>
    <n v="61000"/>
    <x v="32"/>
    <x v="32"/>
    <x v="23"/>
    <x v="32"/>
    <n v="4214"/>
    <n v="1106"/>
    <x v="31"/>
    <x v="21"/>
    <n v="48000"/>
    <x v="14"/>
    <m/>
    <m/>
    <m/>
    <s v="Education"/>
  </r>
  <r>
    <n v="2309"/>
    <x v="33"/>
    <x v="7"/>
    <n v="224262"/>
    <n v="129486"/>
    <n v="88917"/>
    <n v="5925"/>
    <x v="33"/>
    <x v="18"/>
    <n v="34000"/>
    <n v="60000"/>
    <x v="33"/>
    <x v="33"/>
    <x v="23"/>
    <x v="33"/>
    <n v="10304"/>
    <n v="3967"/>
    <x v="32"/>
    <x v="22"/>
    <n v="45000"/>
    <x v="18"/>
    <m/>
    <m/>
    <m/>
    <s v="Education"/>
  </r>
  <r>
    <n v="2310"/>
    <x v="34"/>
    <x v="7"/>
    <n v="149689"/>
    <n v="108272"/>
    <n v="71615"/>
    <n v="5357"/>
    <x v="34"/>
    <x v="19"/>
    <n v="34000"/>
    <n v="53000"/>
    <x v="34"/>
    <x v="34"/>
    <x v="22"/>
    <x v="34"/>
    <n v="20185"/>
    <n v="3797"/>
    <x v="33"/>
    <x v="17"/>
    <n v="43000"/>
    <x v="13"/>
    <m/>
    <m/>
    <m/>
    <s v="Education"/>
  </r>
  <r>
    <n v="2311"/>
    <x v="35"/>
    <x v="7"/>
    <n v="127022"/>
    <n v="78785"/>
    <n v="51632"/>
    <n v="3800"/>
    <x v="35"/>
    <x v="18"/>
    <n v="33000"/>
    <n v="64000"/>
    <x v="35"/>
    <x v="35"/>
    <x v="26"/>
    <x v="35"/>
    <n v="10928"/>
    <n v="5561"/>
    <x v="34"/>
    <x v="11"/>
    <n v="47000"/>
    <x v="7"/>
    <m/>
    <m/>
    <m/>
    <s v="Education"/>
  </r>
  <r>
    <n v="2312"/>
    <x v="36"/>
    <x v="7"/>
    <n v="88067"/>
    <n v="58885"/>
    <n v="37892"/>
    <n v="2032"/>
    <x v="36"/>
    <x v="13"/>
    <n v="30000"/>
    <n v="51000"/>
    <x v="36"/>
    <x v="36"/>
    <x v="27"/>
    <x v="36"/>
    <n v="10766"/>
    <n v="1949"/>
    <x v="35"/>
    <x v="19"/>
    <n v="40000"/>
    <x v="13"/>
    <m/>
    <m/>
    <m/>
    <s v="Education"/>
  </r>
  <r>
    <n v="2313"/>
    <x v="37"/>
    <x v="7"/>
    <n v="181445"/>
    <n v="111347"/>
    <n v="67651"/>
    <n v="5624"/>
    <x v="37"/>
    <x v="19"/>
    <n v="32000"/>
    <n v="54000"/>
    <x v="37"/>
    <x v="37"/>
    <x v="28"/>
    <x v="37"/>
    <n v="17985"/>
    <n v="6824"/>
    <x v="36"/>
    <x v="17"/>
    <n v="43200"/>
    <x v="19"/>
    <m/>
    <m/>
    <m/>
    <s v="Education"/>
  </r>
  <r>
    <n v="2314"/>
    <x v="38"/>
    <x v="7"/>
    <n v="231861"/>
    <n v="155159"/>
    <n v="94756"/>
    <n v="6629"/>
    <x v="38"/>
    <x v="20"/>
    <n v="32000"/>
    <n v="56000"/>
    <x v="38"/>
    <x v="38"/>
    <x v="29"/>
    <x v="38"/>
    <n v="20821"/>
    <n v="8260"/>
    <x v="37"/>
    <x v="23"/>
    <n v="44000"/>
    <x v="13"/>
    <m/>
    <m/>
    <m/>
    <s v="Education"/>
  </r>
  <r>
    <n v="2399"/>
    <x v="39"/>
    <x v="7"/>
    <n v="225553"/>
    <n v="126054"/>
    <n v="91322"/>
    <n v="5145"/>
    <x v="39"/>
    <x v="0"/>
    <n v="35600"/>
    <n v="71000"/>
    <x v="39"/>
    <x v="39"/>
    <x v="30"/>
    <x v="39"/>
    <n v="5284"/>
    <n v="2438"/>
    <x v="38"/>
    <x v="22"/>
    <n v="50000"/>
    <x v="20"/>
    <m/>
    <m/>
    <m/>
    <s v="Education"/>
  </r>
  <r>
    <n v="2400"/>
    <x v="40"/>
    <x v="2"/>
    <n v="503080"/>
    <n v="359172"/>
    <n v="312023"/>
    <n v="17986"/>
    <x v="40"/>
    <x v="21"/>
    <n v="50000"/>
    <n v="100000"/>
    <x v="40"/>
    <x v="40"/>
    <x v="31"/>
    <x v="40"/>
    <n v="26898"/>
    <n v="11734"/>
    <x v="39"/>
    <x v="24"/>
    <n v="75000"/>
    <x v="10"/>
    <n v="61152"/>
    <n v="45683"/>
    <n v="15469"/>
    <s v="Engineering"/>
  </r>
  <r>
    <n v="2401"/>
    <x v="41"/>
    <x v="2"/>
    <n v="65734"/>
    <n v="44944"/>
    <n v="38491"/>
    <n v="1969"/>
    <x v="41"/>
    <x v="22"/>
    <n v="58000"/>
    <n v="110000"/>
    <x v="41"/>
    <x v="41"/>
    <x v="32"/>
    <x v="41"/>
    <n v="8184"/>
    <n v="2425"/>
    <x v="40"/>
    <x v="25"/>
    <n v="85000"/>
    <x v="16"/>
    <n v="15058"/>
    <n v="12953"/>
    <n v="2105"/>
    <s v="Engineering"/>
  </r>
  <r>
    <n v="2402"/>
    <x v="42"/>
    <x v="2"/>
    <n v="32748"/>
    <n v="24270"/>
    <n v="18621"/>
    <n v="1521"/>
    <x v="42"/>
    <x v="4"/>
    <n v="40000"/>
    <n v="91000"/>
    <x v="42"/>
    <x v="42"/>
    <x v="33"/>
    <x v="42"/>
    <n v="3603"/>
    <n v="1595"/>
    <x v="41"/>
    <x v="2"/>
    <n v="65000"/>
    <x v="13"/>
    <n v="8925"/>
    <n v="6062"/>
    <n v="2863"/>
    <s v="Engineering"/>
  </r>
  <r>
    <n v="2403"/>
    <x v="43"/>
    <x v="2"/>
    <n v="19587"/>
    <n v="13713"/>
    <n v="11180"/>
    <n v="1017"/>
    <x v="43"/>
    <x v="10"/>
    <n v="50000"/>
    <n v="102000"/>
    <x v="43"/>
    <x v="43"/>
    <x v="32"/>
    <x v="43"/>
    <n v="1665"/>
    <n v="649"/>
    <x v="42"/>
    <x v="7"/>
    <n v="80000"/>
    <x v="21"/>
    <n v="2825"/>
    <n v="1835"/>
    <n v="990"/>
    <s v="Engineering"/>
  </r>
  <r>
    <n v="2404"/>
    <x v="44"/>
    <x v="2"/>
    <n v="18347"/>
    <n v="12876"/>
    <n v="9202"/>
    <n v="1105"/>
    <x v="44"/>
    <x v="8"/>
    <n v="40000"/>
    <n v="96000"/>
    <x v="44"/>
    <x v="44"/>
    <x v="34"/>
    <x v="44"/>
    <n v="6439"/>
    <n v="2471"/>
    <x v="43"/>
    <x v="26"/>
    <n v="70000"/>
    <x v="22"/>
    <n v="14955"/>
    <n v="8407"/>
    <n v="6548"/>
    <s v="Engineering"/>
  </r>
  <r>
    <n v="2405"/>
    <x v="45"/>
    <x v="2"/>
    <n v="188046"/>
    <n v="131697"/>
    <n v="109406"/>
    <n v="6388"/>
    <x v="45"/>
    <x v="23"/>
    <n v="60000"/>
    <n v="120000"/>
    <x v="45"/>
    <x v="45"/>
    <x v="35"/>
    <x v="45"/>
    <n v="18314"/>
    <n v="4440"/>
    <x v="44"/>
    <x v="27"/>
    <n v="90000"/>
    <x v="1"/>
    <n v="32260"/>
    <n v="21239"/>
    <n v="11021"/>
    <s v="Engineering"/>
  </r>
  <r>
    <n v="2406"/>
    <x v="46"/>
    <x v="2"/>
    <n v="358593"/>
    <n v="262831"/>
    <n v="220528"/>
    <n v="14823"/>
    <x v="46"/>
    <x v="10"/>
    <n v="55000"/>
    <n v="105000"/>
    <x v="46"/>
    <x v="46"/>
    <x v="31"/>
    <x v="46"/>
    <n v="28526"/>
    <n v="9356"/>
    <x v="45"/>
    <x v="28"/>
    <n v="80000"/>
    <x v="0"/>
    <n v="53153"/>
    <n v="41081"/>
    <n v="12072"/>
    <s v="Engineering"/>
  </r>
  <r>
    <n v="2407"/>
    <x v="47"/>
    <x v="2"/>
    <n v="154160"/>
    <n v="128742"/>
    <n v="111025"/>
    <n v="7456"/>
    <x v="47"/>
    <x v="22"/>
    <n v="60000"/>
    <n v="107000"/>
    <x v="47"/>
    <x v="47"/>
    <x v="36"/>
    <x v="47"/>
    <n v="23694"/>
    <n v="5721"/>
    <x v="46"/>
    <x v="29"/>
    <n v="81000"/>
    <x v="18"/>
    <n v="41542"/>
    <n v="33258"/>
    <n v="8284"/>
    <s v="Engineering"/>
  </r>
  <r>
    <n v="2408"/>
    <x v="48"/>
    <x v="2"/>
    <n v="671647"/>
    <n v="489965"/>
    <n v="422317"/>
    <n v="26064"/>
    <x v="48"/>
    <x v="24"/>
    <n v="60000"/>
    <n v="116000"/>
    <x v="48"/>
    <x v="48"/>
    <x v="34"/>
    <x v="48"/>
    <n v="45829"/>
    <n v="10874"/>
    <x v="47"/>
    <x v="30"/>
    <n v="90000"/>
    <x v="18"/>
    <n v="81527"/>
    <n v="65511"/>
    <n v="16016"/>
    <s v="Engineering"/>
  </r>
  <r>
    <n v="2409"/>
    <x v="49"/>
    <x v="2"/>
    <n v="20582"/>
    <n v="14909"/>
    <n v="12257"/>
    <n v="683"/>
    <x v="49"/>
    <x v="8"/>
    <n v="45000"/>
    <n v="100000"/>
    <x v="49"/>
    <x v="49"/>
    <x v="37"/>
    <x v="49"/>
    <n v="2439"/>
    <n v="947"/>
    <x v="19"/>
    <x v="24"/>
    <n v="70000"/>
    <x v="23"/>
    <n v="4321"/>
    <n v="3526"/>
    <n v="795"/>
    <s v="Engineering"/>
  </r>
  <r>
    <n v="2410"/>
    <x v="50"/>
    <x v="2"/>
    <n v="13016"/>
    <n v="9849"/>
    <n v="8104"/>
    <n v="472"/>
    <x v="50"/>
    <x v="25"/>
    <n v="50000"/>
    <n v="95000"/>
    <x v="50"/>
    <x v="50"/>
    <x v="12"/>
    <x v="50"/>
    <n v="2028"/>
    <n v="830"/>
    <x v="48"/>
    <x v="15"/>
    <n v="71900"/>
    <x v="24"/>
    <n v="4047"/>
    <n v="2662"/>
    <n v="1385"/>
    <s v="Engineering"/>
  </r>
  <r>
    <n v="2411"/>
    <x v="51"/>
    <x v="2"/>
    <n v="6264"/>
    <n v="4120"/>
    <n v="3350"/>
    <n v="0"/>
    <x v="26"/>
    <x v="26"/>
    <n v="55000"/>
    <n v="125000"/>
    <x v="51"/>
    <x v="51"/>
    <x v="38"/>
    <x v="51"/>
    <n v="501"/>
    <n v="50"/>
    <x v="49"/>
    <x v="31"/>
    <n v="87000"/>
    <x v="0"/>
    <n v="720"/>
    <n v="488"/>
    <n v="232"/>
    <s v="Engineering"/>
  </r>
  <r>
    <n v="2412"/>
    <x v="52"/>
    <x v="2"/>
    <n v="138366"/>
    <n v="101273"/>
    <n v="85014"/>
    <n v="5498"/>
    <x v="51"/>
    <x v="21"/>
    <n v="50000"/>
    <n v="101000"/>
    <x v="52"/>
    <x v="52"/>
    <x v="33"/>
    <x v="52"/>
    <n v="8306"/>
    <n v="3235"/>
    <x v="50"/>
    <x v="28"/>
    <n v="76000"/>
    <x v="16"/>
    <n v="18968"/>
    <n v="12453"/>
    <n v="6515"/>
    <s v="Engineering"/>
  </r>
  <r>
    <n v="2413"/>
    <x v="53"/>
    <x v="2"/>
    <n v="21430"/>
    <n v="14687"/>
    <n v="11871"/>
    <n v="933"/>
    <x v="52"/>
    <x v="10"/>
    <n v="55000"/>
    <n v="105000"/>
    <x v="53"/>
    <x v="53"/>
    <x v="31"/>
    <x v="53"/>
    <n v="1911"/>
    <n v="305"/>
    <x v="51"/>
    <x v="32"/>
    <n v="78000"/>
    <x v="14"/>
    <n v="2993"/>
    <n v="2020"/>
    <n v="973"/>
    <s v="Engineering"/>
  </r>
  <r>
    <n v="2414"/>
    <x v="54"/>
    <x v="2"/>
    <n v="581529"/>
    <n v="422207"/>
    <n v="362053"/>
    <n v="19360"/>
    <x v="53"/>
    <x v="22"/>
    <n v="59000"/>
    <n v="110000"/>
    <x v="54"/>
    <x v="54"/>
    <x v="33"/>
    <x v="54"/>
    <n v="52844"/>
    <n v="16384"/>
    <x v="52"/>
    <x v="24"/>
    <n v="82000"/>
    <x v="0"/>
    <n v="91227"/>
    <n v="80320"/>
    <n v="10907"/>
    <s v="Engineering"/>
  </r>
  <r>
    <n v="2415"/>
    <x v="55"/>
    <x v="2"/>
    <n v="12818"/>
    <n v="6939"/>
    <n v="5462"/>
    <n v="326"/>
    <x v="54"/>
    <x v="27"/>
    <n v="65000"/>
    <n v="123000"/>
    <x v="55"/>
    <x v="55"/>
    <x v="2"/>
    <x v="55"/>
    <n v="456"/>
    <n v="176"/>
    <x v="6"/>
    <x v="24"/>
    <n v="98000"/>
    <x v="25"/>
    <n v="856"/>
    <n v="725"/>
    <n v="131"/>
    <s v="Engineering"/>
  </r>
  <r>
    <n v="2416"/>
    <x v="56"/>
    <x v="2"/>
    <n v="10746"/>
    <n v="7416"/>
    <n v="6419"/>
    <n v="366"/>
    <x v="55"/>
    <x v="28"/>
    <n v="52000"/>
    <n v="124000"/>
    <x v="56"/>
    <x v="56"/>
    <x v="39"/>
    <x v="56"/>
    <n v="350"/>
    <n v="257"/>
    <x v="53"/>
    <x v="24"/>
    <n v="95000"/>
    <x v="12"/>
    <n v="756"/>
    <n v="679"/>
    <n v="77"/>
    <s v="Engineering"/>
  </r>
  <r>
    <n v="2417"/>
    <x v="57"/>
    <x v="2"/>
    <n v="16094"/>
    <n v="10690"/>
    <n v="9226"/>
    <n v="449"/>
    <x v="56"/>
    <x v="29"/>
    <n v="60000"/>
    <n v="125000"/>
    <x v="57"/>
    <x v="57"/>
    <x v="40"/>
    <x v="57"/>
    <n v="529"/>
    <n v="102"/>
    <x v="6"/>
    <x v="27"/>
    <n v="100000"/>
    <x v="25"/>
    <n v="1258"/>
    <n v="1123"/>
    <n v="135"/>
    <s v="Engineering"/>
  </r>
  <r>
    <n v="2418"/>
    <x v="58"/>
    <x v="2"/>
    <n v="9826"/>
    <n v="7320"/>
    <n v="6474"/>
    <n v="527"/>
    <x v="57"/>
    <x v="30"/>
    <n v="65000"/>
    <n v="128000"/>
    <x v="58"/>
    <x v="58"/>
    <x v="41"/>
    <x v="58"/>
    <n v="1142"/>
    <n v="657"/>
    <x v="54"/>
    <x v="33"/>
    <n v="100000"/>
    <x v="26"/>
    <n v="2573"/>
    <n v="2200"/>
    <n v="373"/>
    <s v="Engineering"/>
  </r>
  <r>
    <n v="2419"/>
    <x v="59"/>
    <x v="2"/>
    <n v="19631"/>
    <n v="14002"/>
    <n v="11636"/>
    <n v="617"/>
    <x v="58"/>
    <x v="31"/>
    <n v="75000"/>
    <n v="210000"/>
    <x v="59"/>
    <x v="59"/>
    <x v="42"/>
    <x v="59"/>
    <n v="1534"/>
    <n v="364"/>
    <x v="55"/>
    <x v="34"/>
    <n v="126000"/>
    <x v="21"/>
    <n v="2339"/>
    <n v="2057"/>
    <n v="282"/>
    <s v="Engineering"/>
  </r>
  <r>
    <n v="2499"/>
    <x v="60"/>
    <x v="2"/>
    <n v="57006"/>
    <n v="43906"/>
    <n v="37194"/>
    <n v="2744"/>
    <x v="59"/>
    <x v="25"/>
    <n v="50000"/>
    <n v="100000"/>
    <x v="60"/>
    <x v="60"/>
    <x v="31"/>
    <x v="60"/>
    <n v="3445"/>
    <n v="2426"/>
    <x v="56"/>
    <x v="26"/>
    <n v="70000"/>
    <x v="22"/>
    <n v="9133"/>
    <n v="7398"/>
    <n v="1735"/>
    <s v="Engineering"/>
  </r>
  <r>
    <n v="2500"/>
    <x v="61"/>
    <x v="2"/>
    <n v="37382"/>
    <n v="30102"/>
    <n v="25651"/>
    <n v="1475"/>
    <x v="60"/>
    <x v="2"/>
    <n v="40000"/>
    <n v="93000"/>
    <x v="61"/>
    <x v="61"/>
    <x v="43"/>
    <x v="61"/>
    <n v="1017"/>
    <n v="1269"/>
    <x v="57"/>
    <x v="35"/>
    <n v="65000"/>
    <x v="4"/>
    <n v="3600"/>
    <n v="2695"/>
    <n v="905"/>
    <s v="Engineering"/>
  </r>
  <r>
    <n v="2501"/>
    <x v="62"/>
    <x v="2"/>
    <n v="47098"/>
    <n v="27275"/>
    <n v="22104"/>
    <n v="1577"/>
    <x v="61"/>
    <x v="32"/>
    <n v="50000"/>
    <n v="107000"/>
    <x v="62"/>
    <x v="62"/>
    <x v="44"/>
    <x v="62"/>
    <n v="482"/>
    <n v="844"/>
    <x v="58"/>
    <x v="25"/>
    <n v="75000"/>
    <x v="27"/>
    <n v="2906"/>
    <n v="2400"/>
    <n v="506"/>
    <s v="Engineering"/>
  </r>
  <r>
    <n v="2502"/>
    <x v="63"/>
    <x v="2"/>
    <n v="94697"/>
    <n v="73737"/>
    <n v="64157"/>
    <n v="4572"/>
    <x v="62"/>
    <x v="33"/>
    <n v="46900"/>
    <n v="91000"/>
    <x v="63"/>
    <x v="63"/>
    <x v="45"/>
    <x v="63"/>
    <n v="5126"/>
    <n v="2686"/>
    <x v="59"/>
    <x v="12"/>
    <n v="68000"/>
    <x v="2"/>
    <n v="11565"/>
    <n v="8181"/>
    <n v="3384"/>
    <s v="Engineering"/>
  </r>
  <r>
    <n v="2503"/>
    <x v="64"/>
    <x v="2"/>
    <n v="82142"/>
    <n v="65401"/>
    <n v="57266"/>
    <n v="3431"/>
    <x v="63"/>
    <x v="25"/>
    <n v="48000"/>
    <n v="98000"/>
    <x v="64"/>
    <x v="64"/>
    <x v="31"/>
    <x v="64"/>
    <n v="1394"/>
    <n v="2454"/>
    <x v="60"/>
    <x v="36"/>
    <n v="70000"/>
    <x v="28"/>
    <n v="4631"/>
    <n v="3477"/>
    <n v="1154"/>
    <s v="Engineering"/>
  </r>
  <r>
    <n v="2504"/>
    <x v="65"/>
    <x v="2"/>
    <n v="29348"/>
    <n v="24190"/>
    <n v="21273"/>
    <n v="1101"/>
    <x v="64"/>
    <x v="9"/>
    <n v="40000"/>
    <n v="82000"/>
    <x v="65"/>
    <x v="65"/>
    <x v="3"/>
    <x v="65"/>
    <n v="1861"/>
    <n v="2121"/>
    <x v="61"/>
    <x v="7"/>
    <n v="61000"/>
    <x v="2"/>
    <n v="4790"/>
    <n v="4419"/>
    <n v="371"/>
    <s v="Engineering"/>
  </r>
  <r>
    <n v="2599"/>
    <x v="66"/>
    <x v="2"/>
    <n v="64196"/>
    <n v="53097"/>
    <n v="46183"/>
    <n v="3401"/>
    <x v="65"/>
    <x v="2"/>
    <n v="42000"/>
    <n v="90000"/>
    <x v="66"/>
    <x v="66"/>
    <x v="46"/>
    <x v="66"/>
    <n v="2446"/>
    <n v="3896"/>
    <x v="62"/>
    <x v="2"/>
    <n v="65000"/>
    <x v="13"/>
    <n v="8804"/>
    <n v="7043"/>
    <n v="1761"/>
    <s v="Engineering"/>
  </r>
  <r>
    <n v="2601"/>
    <x v="67"/>
    <x v="3"/>
    <n v="75791"/>
    <n v="45657"/>
    <n v="30428"/>
    <n v="4043"/>
    <x v="66"/>
    <x v="7"/>
    <n v="30000"/>
    <n v="70000"/>
    <x v="67"/>
    <x v="67"/>
    <x v="5"/>
    <x v="67"/>
    <n v="4122"/>
    <n v="5695"/>
    <x v="63"/>
    <x v="5"/>
    <n v="49000"/>
    <x v="18"/>
    <m/>
    <m/>
    <m/>
    <s v="Humanities &amp; Liberal Arts"/>
  </r>
  <r>
    <n v="2602"/>
    <x v="68"/>
    <x v="3"/>
    <n v="236342"/>
    <n v="153654"/>
    <n v="99459"/>
    <n v="9598"/>
    <x v="67"/>
    <x v="7"/>
    <n v="33500"/>
    <n v="69000"/>
    <x v="68"/>
    <x v="68"/>
    <x v="47"/>
    <x v="68"/>
    <n v="15051"/>
    <n v="18193"/>
    <x v="64"/>
    <x v="1"/>
    <n v="50000"/>
    <x v="2"/>
    <m/>
    <m/>
    <m/>
    <s v="Humanities &amp; Liberal Arts"/>
  </r>
  <r>
    <n v="2603"/>
    <x v="69"/>
    <x v="3"/>
    <n v="57793"/>
    <n v="34696"/>
    <n v="23046"/>
    <n v="2707"/>
    <x v="68"/>
    <x v="18"/>
    <n v="30000"/>
    <n v="75000"/>
    <x v="69"/>
    <x v="69"/>
    <x v="12"/>
    <x v="69"/>
    <n v="2326"/>
    <n v="3703"/>
    <x v="65"/>
    <x v="0"/>
    <n v="47000"/>
    <x v="15"/>
    <m/>
    <m/>
    <m/>
    <s v="Humanities &amp; Liberal Arts"/>
  </r>
  <r>
    <n v="2901"/>
    <x v="70"/>
    <x v="6"/>
    <n v="402038"/>
    <n v="241585"/>
    <n v="154167"/>
    <n v="14273"/>
    <x v="69"/>
    <x v="34"/>
    <n v="30000"/>
    <n v="60000"/>
    <x v="70"/>
    <x v="70"/>
    <x v="48"/>
    <x v="70"/>
    <n v="20985"/>
    <n v="20133"/>
    <x v="66"/>
    <x v="17"/>
    <n v="42000"/>
    <x v="18"/>
    <m/>
    <m/>
    <m/>
    <s v="Industrial Arts &amp; Consumer Services"/>
  </r>
  <r>
    <n v="3201"/>
    <x v="71"/>
    <x v="8"/>
    <n v="9330"/>
    <n v="7270"/>
    <n v="6143"/>
    <n v="518"/>
    <x v="70"/>
    <x v="0"/>
    <n v="34000"/>
    <n v="75000"/>
    <x v="71"/>
    <x v="71"/>
    <x v="14"/>
    <x v="71"/>
    <n v="402"/>
    <n v="528"/>
    <x v="67"/>
    <x v="9"/>
    <n v="50000"/>
    <x v="10"/>
    <m/>
    <m/>
    <m/>
    <s v="Law &amp; Public Policy"/>
  </r>
  <r>
    <n v="3202"/>
    <x v="72"/>
    <x v="8"/>
    <n v="67037"/>
    <n v="49259"/>
    <n v="37254"/>
    <n v="3699"/>
    <x v="71"/>
    <x v="7"/>
    <n v="34000"/>
    <n v="70000"/>
    <x v="72"/>
    <x v="72"/>
    <x v="49"/>
    <x v="72"/>
    <n v="2002"/>
    <n v="6454"/>
    <x v="68"/>
    <x v="37"/>
    <n v="50000"/>
    <x v="29"/>
    <m/>
    <m/>
    <m/>
    <s v="Law &amp; Public Policy"/>
  </r>
  <r>
    <n v="3301"/>
    <x v="73"/>
    <x v="3"/>
    <n v="1098647"/>
    <n v="708882"/>
    <n v="482229"/>
    <n v="52248"/>
    <x v="72"/>
    <x v="0"/>
    <n v="32900"/>
    <n v="75000"/>
    <x v="73"/>
    <x v="73"/>
    <x v="50"/>
    <x v="73"/>
    <n v="57690"/>
    <n v="71827"/>
    <x v="69"/>
    <x v="1"/>
    <n v="50000"/>
    <x v="2"/>
    <m/>
    <m/>
    <m/>
    <s v="Humanities &amp; Liberal Arts"/>
  </r>
  <r>
    <n v="3302"/>
    <x v="74"/>
    <x v="3"/>
    <n v="59211"/>
    <n v="44913"/>
    <n v="29628"/>
    <n v="3569"/>
    <x v="73"/>
    <x v="13"/>
    <n v="28800"/>
    <n v="65000"/>
    <x v="74"/>
    <x v="74"/>
    <x v="51"/>
    <x v="74"/>
    <n v="4855"/>
    <n v="8100"/>
    <x v="70"/>
    <x v="17"/>
    <n v="42000"/>
    <x v="18"/>
    <m/>
    <m/>
    <m/>
    <s v="Humanities &amp; Liberal Arts"/>
  </r>
  <r>
    <n v="3401"/>
    <x v="75"/>
    <x v="3"/>
    <n v="601221"/>
    <n v="404932"/>
    <n v="296792"/>
    <n v="29348"/>
    <x v="74"/>
    <x v="0"/>
    <n v="33000"/>
    <n v="75000"/>
    <x v="75"/>
    <x v="75"/>
    <x v="3"/>
    <x v="75"/>
    <n v="18565"/>
    <n v="28558"/>
    <x v="71"/>
    <x v="8"/>
    <n v="50000"/>
    <x v="22"/>
    <m/>
    <m/>
    <m/>
    <s v="Humanities &amp; Liberal Arts"/>
  </r>
  <r>
    <n v="3402"/>
    <x v="76"/>
    <x v="3"/>
    <n v="46188"/>
    <n v="29971"/>
    <n v="19460"/>
    <n v="2530"/>
    <x v="75"/>
    <x v="35"/>
    <n v="30000"/>
    <n v="70000"/>
    <x v="76"/>
    <x v="76"/>
    <x v="5"/>
    <x v="76"/>
    <n v="1168"/>
    <n v="3354"/>
    <x v="72"/>
    <x v="5"/>
    <n v="47000"/>
    <x v="0"/>
    <m/>
    <m/>
    <m/>
    <s v="Humanities &amp; Liberal Arts"/>
  </r>
  <r>
    <n v="3501"/>
    <x v="77"/>
    <x v="7"/>
    <n v="16193"/>
    <n v="7091"/>
    <n v="4330"/>
    <n v="743"/>
    <x v="76"/>
    <x v="13"/>
    <n v="30000"/>
    <n v="55000"/>
    <x v="77"/>
    <x v="77"/>
    <x v="52"/>
    <x v="77"/>
    <n v="288"/>
    <n v="338"/>
    <x v="73"/>
    <x v="38"/>
    <n v="40000"/>
    <x v="1"/>
    <m/>
    <m/>
    <m/>
    <s v="Education"/>
  </r>
  <r>
    <n v="3600"/>
    <x v="78"/>
    <x v="1"/>
    <n v="839454"/>
    <n v="583079"/>
    <n v="422788"/>
    <n v="36757"/>
    <x v="77"/>
    <x v="36"/>
    <n v="35000"/>
    <n v="80000"/>
    <x v="78"/>
    <x v="78"/>
    <x v="12"/>
    <x v="78"/>
    <n v="88232"/>
    <n v="81109"/>
    <x v="74"/>
    <x v="13"/>
    <n v="54000"/>
    <x v="30"/>
    <n v="280709"/>
    <n v="111762"/>
    <n v="168947"/>
    <s v="Biology &amp; Life Science"/>
  </r>
  <r>
    <n v="3601"/>
    <x v="79"/>
    <x v="1"/>
    <n v="75322"/>
    <n v="52594"/>
    <n v="37103"/>
    <n v="4056"/>
    <x v="78"/>
    <x v="37"/>
    <n v="33000"/>
    <n v="82000"/>
    <x v="79"/>
    <x v="79"/>
    <x v="53"/>
    <x v="79"/>
    <n v="15654"/>
    <n v="8394"/>
    <x v="75"/>
    <x v="39"/>
    <n v="55000"/>
    <x v="30"/>
    <n v="39107"/>
    <n v="18951"/>
    <n v="20156"/>
    <s v="Biology &amp; Life Science"/>
  </r>
  <r>
    <n v="3602"/>
    <x v="80"/>
    <x v="1"/>
    <n v="14135"/>
    <n v="9284"/>
    <n v="6333"/>
    <n v="327"/>
    <x v="79"/>
    <x v="0"/>
    <n v="32000"/>
    <n v="75000"/>
    <x v="80"/>
    <x v="80"/>
    <x v="54"/>
    <x v="80"/>
    <n v="677"/>
    <n v="184"/>
    <x v="76"/>
    <x v="8"/>
    <n v="50000"/>
    <x v="22"/>
    <n v="1329"/>
    <n v="626"/>
    <n v="703"/>
    <s v="Biology &amp; Life Science"/>
  </r>
  <r>
    <n v="3603"/>
    <x v="81"/>
    <x v="1"/>
    <n v="28197"/>
    <n v="20221"/>
    <n v="13366"/>
    <n v="1303"/>
    <x v="80"/>
    <x v="18"/>
    <n v="30000"/>
    <n v="70000"/>
    <x v="81"/>
    <x v="81"/>
    <x v="5"/>
    <x v="81"/>
    <n v="7225"/>
    <n v="3145"/>
    <x v="77"/>
    <x v="12"/>
    <n v="50000"/>
    <x v="31"/>
    <n v="18300"/>
    <n v="7426"/>
    <n v="10874"/>
    <s v="Biology &amp; Life Science"/>
  </r>
  <r>
    <n v="3604"/>
    <x v="82"/>
    <x v="1"/>
    <n v="45368"/>
    <n v="36708"/>
    <n v="25677"/>
    <n v="1888"/>
    <x v="81"/>
    <x v="38"/>
    <n v="32000"/>
    <n v="73000"/>
    <x v="82"/>
    <x v="82"/>
    <x v="14"/>
    <x v="82"/>
    <n v="2856"/>
    <n v="4159"/>
    <x v="78"/>
    <x v="21"/>
    <n v="48700"/>
    <x v="32"/>
    <n v="9154"/>
    <n v="3878"/>
    <n v="5276"/>
    <s v="Biology &amp; Life Science"/>
  </r>
  <r>
    <n v="3605"/>
    <x v="83"/>
    <x v="1"/>
    <n v="6362"/>
    <n v="4747"/>
    <n v="3498"/>
    <n v="206"/>
    <x v="82"/>
    <x v="7"/>
    <n v="33000"/>
    <n v="80000"/>
    <x v="83"/>
    <x v="83"/>
    <x v="36"/>
    <x v="83"/>
    <n v="1675"/>
    <n v="678"/>
    <x v="79"/>
    <x v="7"/>
    <n v="56000"/>
    <x v="16"/>
    <n v="3635"/>
    <n v="1761"/>
    <n v="1874"/>
    <s v="Biology &amp; Life Science"/>
  </r>
  <r>
    <n v="3606"/>
    <x v="84"/>
    <x v="1"/>
    <n v="68885"/>
    <n v="45422"/>
    <n v="33990"/>
    <n v="2435"/>
    <x v="83"/>
    <x v="9"/>
    <n v="40000"/>
    <n v="85000"/>
    <x v="84"/>
    <x v="84"/>
    <x v="12"/>
    <x v="84"/>
    <n v="5577"/>
    <n v="3174"/>
    <x v="80"/>
    <x v="12"/>
    <n v="60000"/>
    <x v="10"/>
    <n v="15232"/>
    <n v="6383"/>
    <n v="8849"/>
    <s v="Biology &amp; Life Science"/>
  </r>
  <r>
    <n v="3607"/>
    <x v="85"/>
    <x v="1"/>
    <n v="5015"/>
    <n v="3481"/>
    <n v="2579"/>
    <n v="57"/>
    <x v="84"/>
    <x v="9"/>
    <n v="35000"/>
    <n v="105000"/>
    <x v="85"/>
    <x v="85"/>
    <x v="38"/>
    <x v="85"/>
    <n v="603"/>
    <n v="478"/>
    <x v="81"/>
    <x v="31"/>
    <n v="66000"/>
    <x v="33"/>
    <n v="1762"/>
    <n v="515"/>
    <n v="1247"/>
    <s v="Biology &amp; Life Science"/>
  </r>
  <r>
    <n v="3608"/>
    <x v="86"/>
    <x v="1"/>
    <n v="43984"/>
    <n v="31394"/>
    <n v="20207"/>
    <n v="1692"/>
    <x v="85"/>
    <x v="0"/>
    <n v="30000"/>
    <n v="75000"/>
    <x v="86"/>
    <x v="86"/>
    <x v="12"/>
    <x v="86"/>
    <n v="6587"/>
    <n v="6894"/>
    <x v="82"/>
    <x v="26"/>
    <n v="50000"/>
    <x v="34"/>
    <n v="22060"/>
    <n v="8422"/>
    <n v="13638"/>
    <s v="Biology &amp; Life Science"/>
  </r>
  <r>
    <n v="3609"/>
    <x v="87"/>
    <x v="1"/>
    <n v="55395"/>
    <n v="35714"/>
    <n v="26152"/>
    <n v="1815"/>
    <x v="86"/>
    <x v="12"/>
    <n v="34000"/>
    <n v="85000"/>
    <x v="87"/>
    <x v="87"/>
    <x v="33"/>
    <x v="87"/>
    <n v="2771"/>
    <n v="2947"/>
    <x v="83"/>
    <x v="33"/>
    <n v="55000"/>
    <x v="35"/>
    <n v="8409"/>
    <n v="3050"/>
    <n v="5359"/>
    <s v="Biology &amp; Life Science"/>
  </r>
  <r>
    <n v="3611"/>
    <x v="88"/>
    <x v="1"/>
    <n v="13676"/>
    <n v="8987"/>
    <n v="5446"/>
    <n v="665"/>
    <x v="87"/>
    <x v="39"/>
    <n v="28000"/>
    <n v="52000"/>
    <x v="88"/>
    <x v="88"/>
    <x v="29"/>
    <x v="88"/>
    <n v="5605"/>
    <n v="2301"/>
    <x v="84"/>
    <x v="17"/>
    <n v="40000"/>
    <x v="0"/>
    <n v="13663"/>
    <n v="4944"/>
    <n v="8719"/>
    <s v="Biology &amp; Life Science"/>
  </r>
  <r>
    <n v="3699"/>
    <x v="89"/>
    <x v="1"/>
    <n v="29389"/>
    <n v="22298"/>
    <n v="16508"/>
    <n v="1114"/>
    <x v="88"/>
    <x v="5"/>
    <n v="33500"/>
    <n v="72800"/>
    <x v="89"/>
    <x v="89"/>
    <x v="55"/>
    <x v="89"/>
    <n v="4253"/>
    <n v="2722"/>
    <x v="85"/>
    <x v="5"/>
    <n v="55000"/>
    <x v="26"/>
    <n v="10706"/>
    <n v="4747"/>
    <n v="5959"/>
    <s v="Biology &amp; Life Science"/>
  </r>
  <r>
    <n v="3700"/>
    <x v="90"/>
    <x v="5"/>
    <n v="432806"/>
    <n v="280902"/>
    <n v="209838"/>
    <n v="15701"/>
    <x v="89"/>
    <x v="40"/>
    <n v="42000"/>
    <n v="100000"/>
    <x v="90"/>
    <x v="90"/>
    <x v="2"/>
    <x v="90"/>
    <n v="34800"/>
    <n v="14829"/>
    <x v="86"/>
    <x v="40"/>
    <n v="68000"/>
    <x v="15"/>
    <n v="72397"/>
    <n v="39956"/>
    <n v="32441"/>
    <s v="Computers &amp; Mathematics"/>
  </r>
  <r>
    <n v="3701"/>
    <x v="91"/>
    <x v="5"/>
    <n v="19112"/>
    <n v="15136"/>
    <n v="12109"/>
    <n v="892"/>
    <x v="90"/>
    <x v="25"/>
    <n v="47000"/>
    <n v="106000"/>
    <x v="91"/>
    <x v="91"/>
    <x v="56"/>
    <x v="91"/>
    <n v="2437"/>
    <n v="803"/>
    <x v="87"/>
    <x v="24"/>
    <n v="76000"/>
    <x v="36"/>
    <n v="4939"/>
    <n v="2794"/>
    <n v="2145"/>
    <s v="Computers &amp; Mathematics"/>
  </r>
  <r>
    <n v="3702"/>
    <x v="92"/>
    <x v="5"/>
    <n v="24806"/>
    <n v="18808"/>
    <n v="14468"/>
    <n v="1138"/>
    <x v="91"/>
    <x v="25"/>
    <n v="43000"/>
    <n v="102000"/>
    <x v="92"/>
    <x v="92"/>
    <x v="56"/>
    <x v="92"/>
    <n v="2298"/>
    <n v="1200"/>
    <x v="88"/>
    <x v="32"/>
    <n v="75000"/>
    <x v="2"/>
    <n v="6251"/>
    <n v="2960"/>
    <n v="3291"/>
    <s v="Computers &amp; Mathematics"/>
  </r>
  <r>
    <n v="3801"/>
    <x v="93"/>
    <x v="6"/>
    <n v="4315"/>
    <n v="1650"/>
    <n v="1708"/>
    <n v="187"/>
    <x v="92"/>
    <x v="41"/>
    <n v="39750"/>
    <n v="90000"/>
    <x v="93"/>
    <x v="93"/>
    <x v="57"/>
    <x v="93"/>
    <n v="0"/>
    <n v="0"/>
    <x v="6"/>
    <x v="35"/>
    <n v="64000"/>
    <x v="26"/>
    <m/>
    <m/>
    <m/>
    <s v="Industrial Arts &amp; Consumer Services"/>
  </r>
  <r>
    <n v="4000"/>
    <x v="94"/>
    <x v="9"/>
    <n v="45199"/>
    <n v="35706"/>
    <n v="26038"/>
    <n v="2990"/>
    <x v="93"/>
    <x v="14"/>
    <n v="32000"/>
    <n v="55000"/>
    <x v="94"/>
    <x v="94"/>
    <x v="58"/>
    <x v="94"/>
    <n v="5176"/>
    <n v="3903"/>
    <x v="89"/>
    <x v="19"/>
    <n v="44000"/>
    <x v="20"/>
    <m/>
    <m/>
    <m/>
    <s v="Interdisciplinary"/>
  </r>
  <r>
    <n v="4001"/>
    <x v="95"/>
    <x v="3"/>
    <n v="56580"/>
    <n v="43114"/>
    <n v="27499"/>
    <n v="3462"/>
    <x v="94"/>
    <x v="18"/>
    <n v="30000"/>
    <n v="69000"/>
    <x v="95"/>
    <x v="95"/>
    <x v="11"/>
    <x v="95"/>
    <n v="4956"/>
    <n v="10343"/>
    <x v="90"/>
    <x v="8"/>
    <n v="50000"/>
    <x v="22"/>
    <m/>
    <m/>
    <m/>
    <s v="Humanities &amp; Liberal Arts"/>
  </r>
  <r>
    <n v="4002"/>
    <x v="96"/>
    <x v="10"/>
    <n v="64534"/>
    <n v="43878"/>
    <n v="28112"/>
    <n v="2961"/>
    <x v="95"/>
    <x v="42"/>
    <n v="34000"/>
    <n v="69000"/>
    <x v="96"/>
    <x v="96"/>
    <x v="59"/>
    <x v="96"/>
    <n v="6535"/>
    <n v="5473"/>
    <x v="91"/>
    <x v="5"/>
    <n v="50000"/>
    <x v="13"/>
    <n v="18909"/>
    <n v="2563"/>
    <n v="16346"/>
    <s v="Health"/>
  </r>
  <r>
    <n v="4005"/>
    <x v="97"/>
    <x v="5"/>
    <n v="7184"/>
    <n v="5874"/>
    <n v="5039"/>
    <n v="150"/>
    <x v="96"/>
    <x v="28"/>
    <n v="53000"/>
    <n v="136000"/>
    <x v="97"/>
    <x v="97"/>
    <x v="60"/>
    <x v="97"/>
    <n v="452"/>
    <n v="67"/>
    <x v="92"/>
    <x v="28"/>
    <n v="92000"/>
    <x v="37"/>
    <n v="609"/>
    <n v="500"/>
    <n v="109"/>
    <s v="Computers &amp; Mathematics"/>
  </r>
  <r>
    <n v="4006"/>
    <x v="98"/>
    <x v="1"/>
    <n v="6898"/>
    <n v="5527"/>
    <n v="3639"/>
    <n v="284"/>
    <x v="97"/>
    <x v="37"/>
    <n v="31500"/>
    <n v="93000"/>
    <x v="98"/>
    <x v="98"/>
    <x v="61"/>
    <x v="98"/>
    <n v="1369"/>
    <n v="921"/>
    <x v="93"/>
    <x v="13"/>
    <n v="55000"/>
    <x v="34"/>
    <n v="3831"/>
    <n v="1667"/>
    <n v="2164"/>
    <s v="Biology &amp; Life Science"/>
  </r>
  <r>
    <n v="4007"/>
    <x v="99"/>
    <x v="11"/>
    <n v="61871"/>
    <n v="43312"/>
    <n v="31078"/>
    <n v="3030"/>
    <x v="98"/>
    <x v="18"/>
    <n v="33000"/>
    <n v="67000"/>
    <x v="99"/>
    <x v="99"/>
    <x v="62"/>
    <x v="99"/>
    <n v="2630"/>
    <n v="3906"/>
    <x v="94"/>
    <x v="41"/>
    <n v="46000"/>
    <x v="22"/>
    <m/>
    <m/>
    <m/>
    <s v="Social Science"/>
  </r>
  <r>
    <n v="4101"/>
    <x v="100"/>
    <x v="6"/>
    <n v="350409"/>
    <n v="286683"/>
    <n v="204242"/>
    <n v="14108"/>
    <x v="99"/>
    <x v="43"/>
    <n v="30000"/>
    <n v="60000"/>
    <x v="100"/>
    <x v="100"/>
    <x v="48"/>
    <x v="100"/>
    <n v="27581"/>
    <n v="63946"/>
    <x v="95"/>
    <x v="11"/>
    <n v="45000"/>
    <x v="13"/>
    <m/>
    <m/>
    <m/>
    <s v="Industrial Arts &amp; Consumer Services"/>
  </r>
  <r>
    <n v="4801"/>
    <x v="101"/>
    <x v="3"/>
    <n v="205763"/>
    <n v="138734"/>
    <n v="95429"/>
    <n v="11252"/>
    <x v="100"/>
    <x v="18"/>
    <n v="30000"/>
    <n v="70000"/>
    <x v="101"/>
    <x v="101"/>
    <x v="5"/>
    <x v="101"/>
    <n v="14444"/>
    <n v="20313"/>
    <x v="96"/>
    <x v="5"/>
    <n v="46000"/>
    <x v="8"/>
    <m/>
    <m/>
    <m/>
    <s v="Humanities &amp; Liberal Arts"/>
  </r>
  <r>
    <n v="4901"/>
    <x v="102"/>
    <x v="3"/>
    <n v="232865"/>
    <n v="164827"/>
    <n v="121606"/>
    <n v="7317"/>
    <x v="101"/>
    <x v="13"/>
    <n v="27000"/>
    <n v="56000"/>
    <x v="102"/>
    <x v="102"/>
    <x v="63"/>
    <x v="102"/>
    <n v="9927"/>
    <n v="12037"/>
    <x v="97"/>
    <x v="42"/>
    <n v="40000"/>
    <x v="9"/>
    <m/>
    <m/>
    <m/>
    <s v="Humanities &amp; Liberal Arts"/>
  </r>
  <r>
    <n v="5000"/>
    <x v="103"/>
    <x v="12"/>
    <n v="8856"/>
    <n v="5872"/>
    <n v="4961"/>
    <n v="238"/>
    <x v="102"/>
    <x v="9"/>
    <n v="38000"/>
    <n v="89000"/>
    <x v="103"/>
    <x v="103"/>
    <x v="33"/>
    <x v="103"/>
    <n v="530"/>
    <n v="465"/>
    <x v="98"/>
    <x v="2"/>
    <n v="60000"/>
    <x v="22"/>
    <n v="1436"/>
    <n v="894"/>
    <n v="542"/>
    <s v="Physical Sciences"/>
  </r>
  <r>
    <n v="5001"/>
    <x v="104"/>
    <x v="12"/>
    <n v="4700"/>
    <n v="3400"/>
    <n v="2447"/>
    <n v="320"/>
    <x v="103"/>
    <x v="22"/>
    <n v="40000"/>
    <n v="106000"/>
    <x v="104"/>
    <x v="104"/>
    <x v="64"/>
    <x v="104"/>
    <n v="972"/>
    <n v="500"/>
    <x v="99"/>
    <x v="39"/>
    <n v="85000"/>
    <x v="20"/>
    <n v="1792"/>
    <n v="832"/>
    <n v="960"/>
    <s v="Physical Sciences"/>
  </r>
  <r>
    <n v="5002"/>
    <x v="105"/>
    <x v="12"/>
    <n v="14051"/>
    <n v="11252"/>
    <n v="9098"/>
    <n v="429"/>
    <x v="104"/>
    <x v="9"/>
    <n v="39000"/>
    <n v="90000"/>
    <x v="105"/>
    <x v="105"/>
    <x v="33"/>
    <x v="105"/>
    <n v="1808"/>
    <n v="1317"/>
    <x v="100"/>
    <x v="43"/>
    <n v="60000"/>
    <x v="16"/>
    <n v="4043"/>
    <n v="2744"/>
    <n v="1299"/>
    <s v="Physical Sciences"/>
  </r>
  <r>
    <n v="5003"/>
    <x v="106"/>
    <x v="12"/>
    <n v="308062"/>
    <n v="198075"/>
    <n v="153308"/>
    <n v="11468"/>
    <x v="105"/>
    <x v="44"/>
    <n v="38700"/>
    <n v="90000"/>
    <x v="106"/>
    <x v="106"/>
    <x v="65"/>
    <x v="106"/>
    <n v="30382"/>
    <n v="14718"/>
    <x v="101"/>
    <x v="24"/>
    <n v="60000"/>
    <x v="34"/>
    <n v="66530"/>
    <n v="32923"/>
    <n v="33607"/>
    <s v="Physical Sciences"/>
  </r>
  <r>
    <n v="5004"/>
    <x v="107"/>
    <x v="12"/>
    <n v="107902"/>
    <n v="75698"/>
    <n v="59262"/>
    <n v="5272"/>
    <x v="106"/>
    <x v="8"/>
    <n v="42000"/>
    <n v="100000"/>
    <x v="107"/>
    <x v="107"/>
    <x v="2"/>
    <x v="107"/>
    <n v="4858"/>
    <n v="2792"/>
    <x v="102"/>
    <x v="14"/>
    <n v="66000"/>
    <x v="0"/>
    <n v="10972"/>
    <n v="5813"/>
    <n v="5159"/>
    <s v="Physical Sciences"/>
  </r>
  <r>
    <n v="5005"/>
    <x v="108"/>
    <x v="12"/>
    <n v="8267"/>
    <n v="6129"/>
    <n v="5020"/>
    <n v="274"/>
    <x v="107"/>
    <x v="45"/>
    <n v="36000"/>
    <n v="80000"/>
    <x v="108"/>
    <x v="108"/>
    <x v="1"/>
    <x v="108"/>
    <n v="784"/>
    <n v="591"/>
    <x v="103"/>
    <x v="26"/>
    <n v="58000"/>
    <x v="27"/>
    <n v="1978"/>
    <n v="809"/>
    <n v="1169"/>
    <s v="Physical Sciences"/>
  </r>
  <r>
    <n v="5006"/>
    <x v="109"/>
    <x v="12"/>
    <n v="10741"/>
    <n v="7882"/>
    <n v="6508"/>
    <n v="449"/>
    <x v="108"/>
    <x v="12"/>
    <n v="40000"/>
    <n v="90000"/>
    <x v="109"/>
    <x v="109"/>
    <x v="31"/>
    <x v="109"/>
    <n v="459"/>
    <n v="996"/>
    <x v="104"/>
    <x v="26"/>
    <n v="60000"/>
    <x v="23"/>
    <n v="2418"/>
    <n v="752"/>
    <n v="1666"/>
    <s v="Physical Sciences"/>
  </r>
  <r>
    <n v="5007"/>
    <x v="110"/>
    <x v="12"/>
    <n v="122620"/>
    <n v="80797"/>
    <n v="60812"/>
    <n v="4440"/>
    <x v="109"/>
    <x v="25"/>
    <n v="40000"/>
    <n v="110000"/>
    <x v="110"/>
    <x v="110"/>
    <x v="38"/>
    <x v="110"/>
    <n v="18674"/>
    <n v="4576"/>
    <x v="105"/>
    <x v="24"/>
    <n v="74000"/>
    <x v="29"/>
    <n v="32142"/>
    <n v="23080"/>
    <n v="9062"/>
    <s v="Physical Sciences"/>
  </r>
  <r>
    <n v="5008"/>
    <x v="111"/>
    <x v="2"/>
    <n v="7208"/>
    <n v="5866"/>
    <n v="4505"/>
    <n v="134"/>
    <x v="110"/>
    <x v="21"/>
    <n v="60000"/>
    <n v="100000"/>
    <x v="111"/>
    <x v="111"/>
    <x v="5"/>
    <x v="111"/>
    <n v="2626"/>
    <n v="391"/>
    <x v="106"/>
    <x v="13"/>
    <n v="80000"/>
    <x v="13"/>
    <n v="4279"/>
    <n v="2949"/>
    <n v="1330"/>
    <s v="Engineering"/>
  </r>
  <r>
    <n v="5098"/>
    <x v="112"/>
    <x v="12"/>
    <n v="427953"/>
    <n v="308461"/>
    <n v="238933"/>
    <n v="14613"/>
    <x v="111"/>
    <x v="46"/>
    <n v="38000"/>
    <n v="85000"/>
    <x v="112"/>
    <x v="112"/>
    <x v="36"/>
    <x v="112"/>
    <n v="17923"/>
    <n v="22039"/>
    <x v="107"/>
    <x v="44"/>
    <n v="59000"/>
    <x v="38"/>
    <n v="62052"/>
    <n v="27015"/>
    <n v="35037"/>
    <s v="Physical Sciences"/>
  </r>
  <r>
    <n v="5102"/>
    <x v="113"/>
    <x v="12"/>
    <n v="12166"/>
    <n v="9560"/>
    <n v="7238"/>
    <n v="718"/>
    <x v="112"/>
    <x v="4"/>
    <n v="45000"/>
    <n v="80000"/>
    <x v="113"/>
    <x v="113"/>
    <x v="59"/>
    <x v="113"/>
    <n v="162"/>
    <n v="1475"/>
    <x v="108"/>
    <x v="2"/>
    <n v="64000"/>
    <x v="18"/>
    <n v="2116"/>
    <n v="528"/>
    <n v="1588"/>
    <s v="Physical Sciences"/>
  </r>
  <r>
    <n v="5200"/>
    <x v="114"/>
    <x v="13"/>
    <n v="1484075"/>
    <n v="1055854"/>
    <n v="736817"/>
    <n v="79066"/>
    <x v="113"/>
    <x v="18"/>
    <n v="31000"/>
    <n v="68000"/>
    <x v="114"/>
    <x v="114"/>
    <x v="7"/>
    <x v="114"/>
    <n v="125148"/>
    <n v="141860"/>
    <x v="109"/>
    <x v="45"/>
    <n v="46000"/>
    <x v="0"/>
    <m/>
    <m/>
    <m/>
    <s v="Psychology &amp; Social Work"/>
  </r>
  <r>
    <n v="5201"/>
    <x v="115"/>
    <x v="13"/>
    <n v="14041"/>
    <n v="8751"/>
    <n v="5763"/>
    <n v="716"/>
    <x v="114"/>
    <x v="13"/>
    <n v="33000"/>
    <n v="70000"/>
    <x v="115"/>
    <x v="115"/>
    <x v="7"/>
    <x v="115"/>
    <n v="1488"/>
    <n v="615"/>
    <x v="110"/>
    <x v="22"/>
    <n v="40000"/>
    <x v="15"/>
    <m/>
    <m/>
    <m/>
    <s v="Psychology &amp; Social Work"/>
  </r>
  <r>
    <n v="5202"/>
    <x v="116"/>
    <x v="13"/>
    <n v="7638"/>
    <n v="5128"/>
    <n v="3297"/>
    <n v="587"/>
    <x v="115"/>
    <x v="18"/>
    <n v="26100"/>
    <n v="62000"/>
    <x v="116"/>
    <x v="116"/>
    <x v="66"/>
    <x v="116"/>
    <n v="986"/>
    <n v="870"/>
    <x v="111"/>
    <x v="8"/>
    <n v="46000"/>
    <x v="36"/>
    <m/>
    <m/>
    <m/>
    <s v="Psychology &amp; Social Work"/>
  </r>
  <r>
    <n v="5203"/>
    <x v="117"/>
    <x v="13"/>
    <n v="17633"/>
    <n v="13071"/>
    <n v="8888"/>
    <n v="954"/>
    <x v="116"/>
    <x v="47"/>
    <n v="25000"/>
    <n v="50000"/>
    <x v="117"/>
    <x v="117"/>
    <x v="52"/>
    <x v="117"/>
    <n v="2403"/>
    <n v="1245"/>
    <x v="22"/>
    <x v="20"/>
    <n v="40000"/>
    <x v="26"/>
    <m/>
    <m/>
    <m/>
    <s v="Psychology &amp; Social Work"/>
  </r>
  <r>
    <n v="5205"/>
    <x v="118"/>
    <x v="13"/>
    <n v="17969"/>
    <n v="11878"/>
    <n v="8631"/>
    <n v="1084"/>
    <x v="117"/>
    <x v="4"/>
    <n v="40000"/>
    <n v="84000"/>
    <x v="118"/>
    <x v="118"/>
    <x v="1"/>
    <x v="118"/>
    <n v="559"/>
    <n v="1224"/>
    <x v="112"/>
    <x v="9"/>
    <n v="63000"/>
    <x v="1"/>
    <m/>
    <m/>
    <m/>
    <s v="Psychology &amp; Social Work"/>
  </r>
  <r>
    <n v="5206"/>
    <x v="119"/>
    <x v="13"/>
    <n v="10871"/>
    <n v="6897"/>
    <n v="5226"/>
    <n v="660"/>
    <x v="118"/>
    <x v="48"/>
    <n v="35000"/>
    <n v="70000"/>
    <x v="119"/>
    <x v="119"/>
    <x v="59"/>
    <x v="119"/>
    <n v="434"/>
    <n v="593"/>
    <x v="113"/>
    <x v="46"/>
    <n v="49000"/>
    <x v="16"/>
    <m/>
    <m/>
    <m/>
    <s v="Psychology &amp; Social Work"/>
  </r>
  <r>
    <n v="5299"/>
    <x v="120"/>
    <x v="13"/>
    <n v="34102"/>
    <n v="23921"/>
    <n v="15688"/>
    <n v="2137"/>
    <x v="119"/>
    <x v="18"/>
    <n v="30000"/>
    <n v="70000"/>
    <x v="120"/>
    <x v="120"/>
    <x v="5"/>
    <x v="120"/>
    <n v="2960"/>
    <n v="3948"/>
    <x v="114"/>
    <x v="0"/>
    <n v="47000"/>
    <x v="15"/>
    <m/>
    <m/>
    <m/>
    <s v="Psychology &amp; Social Work"/>
  </r>
  <r>
    <n v="5301"/>
    <x v="121"/>
    <x v="8"/>
    <n v="757141"/>
    <n v="613369"/>
    <n v="517599"/>
    <n v="35037"/>
    <x v="120"/>
    <x v="0"/>
    <n v="35000"/>
    <n v="74000"/>
    <x v="121"/>
    <x v="121"/>
    <x v="11"/>
    <x v="121"/>
    <n v="24348"/>
    <n v="88858"/>
    <x v="115"/>
    <x v="0"/>
    <n v="52000"/>
    <x v="18"/>
    <m/>
    <m/>
    <m/>
    <s v="Law &amp; Public Policy"/>
  </r>
  <r>
    <n v="5401"/>
    <x v="122"/>
    <x v="8"/>
    <n v="54636"/>
    <n v="37879"/>
    <n v="31262"/>
    <n v="2836"/>
    <x v="121"/>
    <x v="46"/>
    <n v="40000"/>
    <n v="85000"/>
    <x v="122"/>
    <x v="122"/>
    <x v="12"/>
    <x v="122"/>
    <n v="919"/>
    <n v="2313"/>
    <x v="116"/>
    <x v="9"/>
    <n v="58000"/>
    <x v="2"/>
    <m/>
    <m/>
    <m/>
    <s v="Law &amp; Public Policy"/>
  </r>
  <r>
    <n v="5402"/>
    <x v="123"/>
    <x v="8"/>
    <n v="14782"/>
    <n v="11147"/>
    <n v="8196"/>
    <n v="959"/>
    <x v="122"/>
    <x v="9"/>
    <n v="38000"/>
    <n v="90000"/>
    <x v="123"/>
    <x v="123"/>
    <x v="32"/>
    <x v="123"/>
    <n v="1550"/>
    <n v="1871"/>
    <x v="117"/>
    <x v="40"/>
    <n v="63000"/>
    <x v="29"/>
    <m/>
    <m/>
    <m/>
    <s v="Law &amp; Public Policy"/>
  </r>
  <r>
    <n v="5403"/>
    <x v="124"/>
    <x v="13"/>
    <n v="81786"/>
    <n v="61402"/>
    <n v="44959"/>
    <n v="4794"/>
    <x v="123"/>
    <x v="49"/>
    <n v="29000"/>
    <n v="52000"/>
    <x v="124"/>
    <x v="124"/>
    <x v="58"/>
    <x v="124"/>
    <n v="2878"/>
    <n v="4595"/>
    <x v="118"/>
    <x v="47"/>
    <n v="38700"/>
    <x v="39"/>
    <m/>
    <m/>
    <m/>
    <s v="Psychology &amp; Social Work"/>
  </r>
  <r>
    <n v="5404"/>
    <x v="125"/>
    <x v="13"/>
    <n v="319163"/>
    <n v="225081"/>
    <n v="164020"/>
    <n v="14208"/>
    <x v="124"/>
    <x v="13"/>
    <n v="30000"/>
    <n v="53000"/>
    <x v="125"/>
    <x v="125"/>
    <x v="58"/>
    <x v="125"/>
    <n v="27449"/>
    <n v="14416"/>
    <x v="119"/>
    <x v="48"/>
    <n v="40000"/>
    <x v="7"/>
    <m/>
    <m/>
    <m/>
    <s v="Psychology &amp; Social Work"/>
  </r>
  <r>
    <n v="5500"/>
    <x v="126"/>
    <x v="11"/>
    <n v="127363"/>
    <n v="80165"/>
    <n v="57036"/>
    <n v="6132"/>
    <x v="125"/>
    <x v="0"/>
    <n v="35000"/>
    <n v="75000"/>
    <x v="126"/>
    <x v="126"/>
    <x v="5"/>
    <x v="126"/>
    <n v="3602"/>
    <n v="4778"/>
    <x v="120"/>
    <x v="49"/>
    <n v="50000"/>
    <x v="8"/>
    <m/>
    <m/>
    <m/>
    <s v="Social Science"/>
  </r>
  <r>
    <n v="5501"/>
    <x v="127"/>
    <x v="11"/>
    <n v="757616"/>
    <n v="535446"/>
    <n v="430580"/>
    <n v="34974"/>
    <x v="126"/>
    <x v="50"/>
    <n v="42000"/>
    <n v="110000"/>
    <x v="127"/>
    <x v="127"/>
    <x v="67"/>
    <x v="127"/>
    <n v="25582"/>
    <n v="37057"/>
    <x v="121"/>
    <x v="24"/>
    <n v="70000"/>
    <x v="23"/>
    <m/>
    <m/>
    <m/>
    <s v="Social Science"/>
  </r>
  <r>
    <n v="5502"/>
    <x v="128"/>
    <x v="3"/>
    <n v="143087"/>
    <n v="102399"/>
    <n v="66046"/>
    <n v="8684"/>
    <x v="127"/>
    <x v="14"/>
    <n v="30000"/>
    <n v="68000"/>
    <x v="128"/>
    <x v="128"/>
    <x v="13"/>
    <x v="128"/>
    <n v="9805"/>
    <n v="16693"/>
    <x v="122"/>
    <x v="5"/>
    <n v="45000"/>
    <x v="22"/>
    <m/>
    <m/>
    <m/>
    <s v="Humanities &amp; Liberal Arts"/>
  </r>
  <r>
    <n v="5503"/>
    <x v="129"/>
    <x v="11"/>
    <n v="75085"/>
    <n v="59534"/>
    <n v="48763"/>
    <n v="4106"/>
    <x v="128"/>
    <x v="51"/>
    <n v="35000"/>
    <n v="72000"/>
    <x v="129"/>
    <x v="129"/>
    <x v="7"/>
    <x v="129"/>
    <n v="3373"/>
    <n v="10605"/>
    <x v="123"/>
    <x v="5"/>
    <n v="50000"/>
    <x v="13"/>
    <m/>
    <m/>
    <m/>
    <s v="Social Science"/>
  </r>
  <r>
    <n v="5504"/>
    <x v="130"/>
    <x v="11"/>
    <n v="115423"/>
    <n v="83671"/>
    <n v="63070"/>
    <n v="6202"/>
    <x v="129"/>
    <x v="1"/>
    <n v="38300"/>
    <n v="78000"/>
    <x v="130"/>
    <x v="130"/>
    <x v="68"/>
    <x v="130"/>
    <n v="5350"/>
    <n v="6830"/>
    <x v="124"/>
    <x v="50"/>
    <n v="55000"/>
    <x v="0"/>
    <m/>
    <m/>
    <m/>
    <s v="Social Science"/>
  </r>
  <r>
    <n v="5505"/>
    <x v="131"/>
    <x v="11"/>
    <n v="77371"/>
    <n v="56564"/>
    <n v="42091"/>
    <n v="4278"/>
    <x v="130"/>
    <x v="12"/>
    <n v="40000"/>
    <n v="89000"/>
    <x v="131"/>
    <x v="131"/>
    <x v="53"/>
    <x v="131"/>
    <n v="6774"/>
    <n v="9570"/>
    <x v="125"/>
    <x v="44"/>
    <n v="60000"/>
    <x v="29"/>
    <m/>
    <m/>
    <m/>
    <s v="Social Science"/>
  </r>
  <r>
    <n v="5506"/>
    <x v="132"/>
    <x v="11"/>
    <n v="748956"/>
    <n v="541630"/>
    <n v="421761"/>
    <n v="40376"/>
    <x v="131"/>
    <x v="6"/>
    <n v="38000"/>
    <n v="90000"/>
    <x v="132"/>
    <x v="132"/>
    <x v="32"/>
    <x v="132"/>
    <n v="36854"/>
    <n v="66947"/>
    <x v="126"/>
    <x v="32"/>
    <n v="60000"/>
    <x v="27"/>
    <m/>
    <m/>
    <m/>
    <s v="Social Science"/>
  </r>
  <r>
    <n v="5507"/>
    <x v="133"/>
    <x v="11"/>
    <n v="674558"/>
    <n v="459174"/>
    <n v="336515"/>
    <n v="32344"/>
    <x v="132"/>
    <x v="48"/>
    <n v="33000"/>
    <n v="70000"/>
    <x v="133"/>
    <x v="133"/>
    <x v="7"/>
    <x v="133"/>
    <n v="29051"/>
    <n v="48899"/>
    <x v="127"/>
    <x v="45"/>
    <n v="49000"/>
    <x v="13"/>
    <m/>
    <m/>
    <m/>
    <s v="Social Science"/>
  </r>
  <r>
    <n v="5599"/>
    <x v="134"/>
    <x v="11"/>
    <n v="15882"/>
    <n v="12307"/>
    <n v="9444"/>
    <n v="708"/>
    <x v="133"/>
    <x v="5"/>
    <n v="40000"/>
    <n v="80000"/>
    <x v="134"/>
    <x v="134"/>
    <x v="5"/>
    <x v="134"/>
    <n v="744"/>
    <n v="1654"/>
    <x v="128"/>
    <x v="50"/>
    <n v="54000"/>
    <x v="8"/>
    <m/>
    <m/>
    <m/>
    <s v="Social Science"/>
  </r>
  <r>
    <n v="5601"/>
    <x v="135"/>
    <x v="6"/>
    <n v="92346"/>
    <n v="79055"/>
    <n v="65916"/>
    <n v="4257"/>
    <x v="134"/>
    <x v="8"/>
    <n v="45000"/>
    <n v="95000"/>
    <x v="135"/>
    <x v="135"/>
    <x v="31"/>
    <x v="135"/>
    <n v="3275"/>
    <n v="5351"/>
    <x v="129"/>
    <x v="9"/>
    <n v="65000"/>
    <x v="26"/>
    <m/>
    <m/>
    <m/>
    <s v="Industrial Arts &amp; Consumer Services"/>
  </r>
  <r>
    <n v="5701"/>
    <x v="136"/>
    <x v="6"/>
    <n v="15726"/>
    <n v="12607"/>
    <n v="10453"/>
    <n v="692"/>
    <x v="135"/>
    <x v="7"/>
    <n v="32000"/>
    <n v="75000"/>
    <x v="136"/>
    <x v="136"/>
    <x v="54"/>
    <x v="136"/>
    <n v="221"/>
    <n v="1659"/>
    <x v="106"/>
    <x v="21"/>
    <n v="50000"/>
    <x v="1"/>
    <m/>
    <m/>
    <m/>
    <s v="Industrial Arts &amp; Consumer Services"/>
  </r>
  <r>
    <n v="5901"/>
    <x v="137"/>
    <x v="6"/>
    <n v="126639"/>
    <n v="98814"/>
    <n v="83519"/>
    <n v="4902"/>
    <x v="136"/>
    <x v="33"/>
    <n v="42500"/>
    <n v="98000"/>
    <x v="137"/>
    <x v="137"/>
    <x v="69"/>
    <x v="137"/>
    <n v="4575"/>
    <n v="6147"/>
    <x v="130"/>
    <x v="26"/>
    <n v="69000"/>
    <x v="15"/>
    <m/>
    <m/>
    <m/>
    <s v="Industrial Arts &amp; Consumer Services"/>
  </r>
  <r>
    <n v="6000"/>
    <x v="138"/>
    <x v="14"/>
    <n v="571961"/>
    <n v="386961"/>
    <n v="256747"/>
    <n v="29912"/>
    <x v="137"/>
    <x v="18"/>
    <n v="30000"/>
    <n v="70000"/>
    <x v="138"/>
    <x v="138"/>
    <x v="5"/>
    <x v="138"/>
    <n v="20792"/>
    <n v="32725"/>
    <x v="131"/>
    <x v="17"/>
    <n v="46000"/>
    <x v="1"/>
    <m/>
    <m/>
    <m/>
    <s v="Arts"/>
  </r>
  <r>
    <n v="6001"/>
    <x v="139"/>
    <x v="14"/>
    <n v="174817"/>
    <n v="135071"/>
    <n v="81519"/>
    <n v="11789"/>
    <x v="138"/>
    <x v="19"/>
    <n v="29000"/>
    <n v="62000"/>
    <x v="139"/>
    <x v="139"/>
    <x v="70"/>
    <x v="139"/>
    <n v="6994"/>
    <n v="25313"/>
    <x v="132"/>
    <x v="51"/>
    <n v="45000"/>
    <x v="40"/>
    <m/>
    <m/>
    <m/>
    <s v="Arts"/>
  </r>
  <r>
    <n v="6002"/>
    <x v="140"/>
    <x v="14"/>
    <n v="276262"/>
    <n v="192704"/>
    <n v="116142"/>
    <n v="11155"/>
    <x v="139"/>
    <x v="18"/>
    <n v="30000"/>
    <n v="67000"/>
    <x v="140"/>
    <x v="140"/>
    <x v="7"/>
    <x v="140"/>
    <n v="13752"/>
    <n v="28786"/>
    <x v="133"/>
    <x v="11"/>
    <n v="46400"/>
    <x v="40"/>
    <m/>
    <m/>
    <m/>
    <s v="Arts"/>
  </r>
  <r>
    <n v="6003"/>
    <x v="141"/>
    <x v="14"/>
    <n v="55141"/>
    <n v="41098"/>
    <n v="23479"/>
    <n v="4297"/>
    <x v="140"/>
    <x v="13"/>
    <n v="27000"/>
    <n v="59000"/>
    <x v="141"/>
    <x v="141"/>
    <x v="71"/>
    <x v="141"/>
    <n v="3849"/>
    <n v="7635"/>
    <x v="134"/>
    <x v="48"/>
    <n v="40000"/>
    <x v="7"/>
    <m/>
    <m/>
    <m/>
    <s v="Arts"/>
  </r>
  <r>
    <n v="6004"/>
    <x v="142"/>
    <x v="14"/>
    <n v="504657"/>
    <n v="379980"/>
    <n v="266671"/>
    <n v="30330"/>
    <x v="141"/>
    <x v="52"/>
    <n v="32000"/>
    <n v="70000"/>
    <x v="142"/>
    <x v="142"/>
    <x v="13"/>
    <x v="142"/>
    <n v="37389"/>
    <n v="38119"/>
    <x v="135"/>
    <x v="11"/>
    <n v="48000"/>
    <x v="1"/>
    <m/>
    <m/>
    <m/>
    <s v="Arts"/>
  </r>
  <r>
    <n v="6005"/>
    <x v="143"/>
    <x v="14"/>
    <n v="133508"/>
    <n v="107651"/>
    <n v="69303"/>
    <n v="10080"/>
    <x v="142"/>
    <x v="48"/>
    <n v="30000"/>
    <n v="70000"/>
    <x v="143"/>
    <x v="143"/>
    <x v="5"/>
    <x v="143"/>
    <n v="7368"/>
    <n v="20721"/>
    <x v="136"/>
    <x v="10"/>
    <n v="50000"/>
    <x v="11"/>
    <m/>
    <m/>
    <m/>
    <s v="Arts"/>
  </r>
  <r>
    <n v="6006"/>
    <x v="144"/>
    <x v="3"/>
    <n v="90852"/>
    <n v="61295"/>
    <n v="38989"/>
    <n v="4185"/>
    <x v="143"/>
    <x v="53"/>
    <n v="30000"/>
    <n v="70000"/>
    <x v="144"/>
    <x v="144"/>
    <x v="5"/>
    <x v="144"/>
    <n v="5139"/>
    <n v="9738"/>
    <x v="137"/>
    <x v="5"/>
    <n v="45500"/>
    <x v="41"/>
    <m/>
    <m/>
    <m/>
    <s v="Humanities &amp; Liberal Arts"/>
  </r>
  <r>
    <n v="6007"/>
    <x v="145"/>
    <x v="14"/>
    <n v="81008"/>
    <n v="58799"/>
    <n v="36943"/>
    <n v="5372"/>
    <x v="144"/>
    <x v="54"/>
    <n v="24900"/>
    <n v="58000"/>
    <x v="145"/>
    <x v="145"/>
    <x v="72"/>
    <x v="145"/>
    <n v="3948"/>
    <n v="8707"/>
    <x v="138"/>
    <x v="52"/>
    <n v="38000"/>
    <x v="42"/>
    <m/>
    <m/>
    <m/>
    <s v="Arts"/>
  </r>
  <r>
    <n v="6099"/>
    <x v="146"/>
    <x v="14"/>
    <n v="8511"/>
    <n v="6431"/>
    <n v="3802"/>
    <n v="1190"/>
    <x v="145"/>
    <x v="18"/>
    <n v="30000"/>
    <n v="60000"/>
    <x v="146"/>
    <x v="146"/>
    <x v="48"/>
    <x v="146"/>
    <n v="693"/>
    <n v="1714"/>
    <x v="139"/>
    <x v="19"/>
    <n v="46000"/>
    <x v="4"/>
    <m/>
    <m/>
    <m/>
    <s v="Arts"/>
  </r>
  <r>
    <n v="6100"/>
    <x v="147"/>
    <x v="10"/>
    <n v="104516"/>
    <n v="78198"/>
    <n v="53746"/>
    <n v="4525"/>
    <x v="146"/>
    <x v="0"/>
    <n v="35000"/>
    <n v="73000"/>
    <x v="147"/>
    <x v="147"/>
    <x v="13"/>
    <x v="147"/>
    <n v="9364"/>
    <n v="12889"/>
    <x v="140"/>
    <x v="8"/>
    <n v="52000"/>
    <x v="0"/>
    <n v="33599"/>
    <n v="7574"/>
    <n v="26025"/>
    <s v="Health"/>
  </r>
  <r>
    <n v="6102"/>
    <x v="148"/>
    <x v="10"/>
    <n v="74977"/>
    <n v="49393"/>
    <n v="26085"/>
    <n v="2407"/>
    <x v="147"/>
    <x v="19"/>
    <n v="30000"/>
    <n v="60000"/>
    <x v="148"/>
    <x v="148"/>
    <x v="48"/>
    <x v="148"/>
    <n v="19957"/>
    <n v="9404"/>
    <x v="141"/>
    <x v="5"/>
    <n v="44000"/>
    <x v="15"/>
    <n v="38279"/>
    <n v="1225"/>
    <n v="37054"/>
    <s v="Health"/>
  </r>
  <r>
    <n v="6103"/>
    <x v="149"/>
    <x v="10"/>
    <n v="108510"/>
    <n v="85360"/>
    <n v="67294"/>
    <n v="5160"/>
    <x v="148"/>
    <x v="0"/>
    <n v="35000"/>
    <n v="75000"/>
    <x v="149"/>
    <x v="149"/>
    <x v="5"/>
    <x v="149"/>
    <n v="2589"/>
    <n v="8592"/>
    <x v="142"/>
    <x v="53"/>
    <n v="52000"/>
    <x v="38"/>
    <n v="18109"/>
    <n v="4266"/>
    <n v="13843"/>
    <s v="Health"/>
  </r>
  <r>
    <n v="6104"/>
    <x v="150"/>
    <x v="10"/>
    <n v="64316"/>
    <n v="51279"/>
    <n v="25118"/>
    <n v="1660"/>
    <x v="149"/>
    <x v="12"/>
    <n v="37000"/>
    <n v="75000"/>
    <x v="150"/>
    <x v="150"/>
    <x v="13"/>
    <x v="150"/>
    <n v="2091"/>
    <n v="6948"/>
    <x v="143"/>
    <x v="2"/>
    <n v="56000"/>
    <x v="36"/>
    <n v="11123"/>
    <n v="803"/>
    <n v="10320"/>
    <s v="Health"/>
  </r>
  <r>
    <n v="6105"/>
    <x v="151"/>
    <x v="10"/>
    <n v="164990"/>
    <n v="121479"/>
    <n v="92128"/>
    <n v="4564"/>
    <x v="150"/>
    <x v="9"/>
    <n v="45000"/>
    <n v="76000"/>
    <x v="151"/>
    <x v="151"/>
    <x v="26"/>
    <x v="151"/>
    <n v="5546"/>
    <n v="7176"/>
    <x v="144"/>
    <x v="37"/>
    <n v="60000"/>
    <x v="18"/>
    <n v="15914"/>
    <n v="3916"/>
    <n v="11998"/>
    <s v="Health"/>
  </r>
  <r>
    <n v="6106"/>
    <x v="152"/>
    <x v="10"/>
    <n v="32514"/>
    <n v="19009"/>
    <n v="13147"/>
    <n v="1431"/>
    <x v="151"/>
    <x v="0"/>
    <n v="34000"/>
    <n v="85000"/>
    <x v="152"/>
    <x v="152"/>
    <x v="33"/>
    <x v="152"/>
    <n v="3051"/>
    <n v="3539"/>
    <x v="145"/>
    <x v="54"/>
    <n v="51000"/>
    <x v="43"/>
    <n v="12740"/>
    <n v="5521"/>
    <n v="7219"/>
    <s v="Health"/>
  </r>
  <r>
    <n v="6107"/>
    <x v="153"/>
    <x v="10"/>
    <n v="1769892"/>
    <n v="1325711"/>
    <n v="947546"/>
    <n v="36503"/>
    <x v="152"/>
    <x v="4"/>
    <n v="48000"/>
    <n v="80000"/>
    <x v="153"/>
    <x v="153"/>
    <x v="71"/>
    <x v="153"/>
    <n v="151643"/>
    <n v="26146"/>
    <x v="146"/>
    <x v="14"/>
    <n v="64000"/>
    <x v="22"/>
    <n v="209394"/>
    <n v="21773"/>
    <n v="187621"/>
    <s v="Health"/>
  </r>
  <r>
    <n v="6108"/>
    <x v="154"/>
    <x v="10"/>
    <n v="180084"/>
    <n v="124058"/>
    <n v="89234"/>
    <n v="4414"/>
    <x v="153"/>
    <x v="55"/>
    <n v="78000"/>
    <n v="125000"/>
    <x v="154"/>
    <x v="154"/>
    <x v="36"/>
    <x v="154"/>
    <n v="11573"/>
    <n v="4493"/>
    <x v="147"/>
    <x v="55"/>
    <n v="107000"/>
    <x v="44"/>
    <n v="23551"/>
    <n v="8697"/>
    <n v="14854"/>
    <s v="Health"/>
  </r>
  <r>
    <n v="6109"/>
    <x v="155"/>
    <x v="10"/>
    <n v="252138"/>
    <n v="199174"/>
    <n v="128115"/>
    <n v="5378"/>
    <x v="154"/>
    <x v="56"/>
    <n v="40000"/>
    <n v="80000"/>
    <x v="155"/>
    <x v="155"/>
    <x v="5"/>
    <x v="155"/>
    <n v="22215"/>
    <n v="14616"/>
    <x v="148"/>
    <x v="8"/>
    <n v="63000"/>
    <x v="11"/>
    <n v="48491"/>
    <n v="13487"/>
    <n v="35004"/>
    <s v="Health"/>
  </r>
  <r>
    <n v="6110"/>
    <x v="156"/>
    <x v="10"/>
    <n v="56741"/>
    <n v="42543"/>
    <n v="28912"/>
    <n v="3032"/>
    <x v="155"/>
    <x v="48"/>
    <n v="32800"/>
    <n v="70000"/>
    <x v="156"/>
    <x v="156"/>
    <x v="73"/>
    <x v="156"/>
    <n v="5225"/>
    <n v="7385"/>
    <x v="149"/>
    <x v="56"/>
    <n v="50000"/>
    <x v="45"/>
    <n v="19735"/>
    <n v="4103"/>
    <n v="15632"/>
    <s v="Health"/>
  </r>
  <r>
    <n v="6199"/>
    <x v="157"/>
    <x v="10"/>
    <n v="77647"/>
    <n v="52610"/>
    <n v="35676"/>
    <n v="2978"/>
    <x v="156"/>
    <x v="18"/>
    <n v="32000"/>
    <n v="62000"/>
    <x v="157"/>
    <x v="157"/>
    <x v="48"/>
    <x v="157"/>
    <n v="5652"/>
    <n v="3835"/>
    <x v="150"/>
    <x v="11"/>
    <n v="45000"/>
    <x v="13"/>
    <n v="13386"/>
    <n v="1589"/>
    <n v="11797"/>
    <s v="Health"/>
  </r>
  <r>
    <n v="6200"/>
    <x v="158"/>
    <x v="15"/>
    <n v="2148712"/>
    <n v="1580978"/>
    <n v="1304646"/>
    <n v="85626"/>
    <x v="157"/>
    <x v="9"/>
    <n v="40000"/>
    <n v="95000"/>
    <x v="158"/>
    <x v="158"/>
    <x v="37"/>
    <x v="158"/>
    <n v="29334"/>
    <n v="100831"/>
    <x v="151"/>
    <x v="12"/>
    <n v="60000"/>
    <x v="10"/>
    <m/>
    <m/>
    <m/>
    <s v="Business"/>
  </r>
  <r>
    <n v="6201"/>
    <x v="159"/>
    <x v="15"/>
    <n v="1779219"/>
    <n v="1335825"/>
    <n v="1095027"/>
    <n v="75379"/>
    <x v="158"/>
    <x v="8"/>
    <n v="42500"/>
    <n v="100000"/>
    <x v="159"/>
    <x v="159"/>
    <x v="74"/>
    <x v="159"/>
    <n v="11417"/>
    <n v="39323"/>
    <x v="152"/>
    <x v="57"/>
    <n v="65000"/>
    <x v="46"/>
    <m/>
    <m/>
    <m/>
    <s v="Business"/>
  </r>
  <r>
    <n v="6202"/>
    <x v="160"/>
    <x v="15"/>
    <n v="9763"/>
    <n v="7846"/>
    <n v="6880"/>
    <n v="466"/>
    <x v="159"/>
    <x v="57"/>
    <n v="53000"/>
    <n v="115000"/>
    <x v="160"/>
    <x v="160"/>
    <x v="75"/>
    <x v="160"/>
    <n v="1768"/>
    <n v="314"/>
    <x v="153"/>
    <x v="33"/>
    <n v="76000"/>
    <x v="47"/>
    <m/>
    <m/>
    <m/>
    <s v="Business"/>
  </r>
  <r>
    <n v="6203"/>
    <x v="161"/>
    <x v="15"/>
    <n v="3123510"/>
    <n v="2354398"/>
    <n v="1939384"/>
    <n v="147261"/>
    <x v="160"/>
    <x v="6"/>
    <n v="39500"/>
    <n v="86000"/>
    <x v="161"/>
    <x v="161"/>
    <x v="76"/>
    <x v="161"/>
    <n v="36720"/>
    <n v="148395"/>
    <x v="154"/>
    <x v="58"/>
    <n v="60000"/>
    <x v="2"/>
    <m/>
    <m/>
    <m/>
    <s v="Business"/>
  </r>
  <r>
    <n v="6204"/>
    <x v="162"/>
    <x v="15"/>
    <n v="57200"/>
    <n v="47341"/>
    <n v="41104"/>
    <n v="2141"/>
    <x v="161"/>
    <x v="8"/>
    <n v="45000"/>
    <n v="90000"/>
    <x v="162"/>
    <x v="162"/>
    <x v="12"/>
    <x v="162"/>
    <n v="1466"/>
    <n v="3629"/>
    <x v="155"/>
    <x v="59"/>
    <n v="66000"/>
    <x v="48"/>
    <m/>
    <m/>
    <m/>
    <s v="Business"/>
  </r>
  <r>
    <n v="6205"/>
    <x v="163"/>
    <x v="15"/>
    <n v="75547"/>
    <n v="57983"/>
    <n v="48471"/>
    <n v="3816"/>
    <x v="162"/>
    <x v="8"/>
    <n v="45000"/>
    <n v="100000"/>
    <x v="163"/>
    <x v="163"/>
    <x v="37"/>
    <x v="163"/>
    <n v="1578"/>
    <n v="4612"/>
    <x v="156"/>
    <x v="59"/>
    <n v="70000"/>
    <x v="36"/>
    <m/>
    <m/>
    <m/>
    <s v="Business"/>
  </r>
  <r>
    <n v="6206"/>
    <x v="164"/>
    <x v="15"/>
    <n v="1114624"/>
    <n v="890125"/>
    <n v="704912"/>
    <n v="51839"/>
    <x v="163"/>
    <x v="46"/>
    <n v="38500"/>
    <n v="90000"/>
    <x v="164"/>
    <x v="164"/>
    <x v="4"/>
    <x v="164"/>
    <n v="25320"/>
    <n v="93889"/>
    <x v="157"/>
    <x v="2"/>
    <n v="60000"/>
    <x v="22"/>
    <m/>
    <m/>
    <m/>
    <s v="Business"/>
  </r>
  <r>
    <n v="6207"/>
    <x v="165"/>
    <x v="15"/>
    <n v="816548"/>
    <n v="670681"/>
    <n v="561073"/>
    <n v="34166"/>
    <x v="164"/>
    <x v="8"/>
    <n v="45000"/>
    <n v="100000"/>
    <x v="165"/>
    <x v="165"/>
    <x v="37"/>
    <x v="165"/>
    <n v="24243"/>
    <n v="48447"/>
    <x v="158"/>
    <x v="13"/>
    <n v="70000"/>
    <x v="10"/>
    <m/>
    <m/>
    <m/>
    <s v="Business"/>
  </r>
  <r>
    <n v="6209"/>
    <x v="166"/>
    <x v="15"/>
    <n v="187274"/>
    <n v="142879"/>
    <n v="116466"/>
    <n v="9241"/>
    <x v="165"/>
    <x v="1"/>
    <n v="38000"/>
    <n v="80000"/>
    <x v="166"/>
    <x v="166"/>
    <x v="3"/>
    <x v="166"/>
    <n v="2406"/>
    <n v="9629"/>
    <x v="159"/>
    <x v="8"/>
    <n v="55000"/>
    <x v="13"/>
    <m/>
    <m/>
    <m/>
    <s v="Business"/>
  </r>
  <r>
    <n v="6210"/>
    <x v="167"/>
    <x v="15"/>
    <n v="86064"/>
    <n v="66453"/>
    <n v="51012"/>
    <n v="5106"/>
    <x v="166"/>
    <x v="1"/>
    <n v="38600"/>
    <n v="80000"/>
    <x v="167"/>
    <x v="167"/>
    <x v="77"/>
    <x v="167"/>
    <n v="3383"/>
    <n v="9482"/>
    <x v="160"/>
    <x v="4"/>
    <n v="57000"/>
    <x v="13"/>
    <m/>
    <m/>
    <m/>
    <s v="Business"/>
  </r>
  <r>
    <n v="6211"/>
    <x v="168"/>
    <x v="15"/>
    <n v="200854"/>
    <n v="163393"/>
    <n v="122499"/>
    <n v="8862"/>
    <x v="167"/>
    <x v="51"/>
    <n v="33000"/>
    <n v="70000"/>
    <x v="168"/>
    <x v="168"/>
    <x v="7"/>
    <x v="168"/>
    <n v="2325"/>
    <n v="23341"/>
    <x v="161"/>
    <x v="5"/>
    <n v="50000"/>
    <x v="13"/>
    <m/>
    <m/>
    <m/>
    <s v="Business"/>
  </r>
  <r>
    <n v="6212"/>
    <x v="169"/>
    <x v="15"/>
    <n v="156673"/>
    <n v="134478"/>
    <n v="118249"/>
    <n v="6186"/>
    <x v="168"/>
    <x v="57"/>
    <n v="50000"/>
    <n v="100000"/>
    <x v="169"/>
    <x v="169"/>
    <x v="31"/>
    <x v="169"/>
    <n v="6342"/>
    <n v="5741"/>
    <x v="162"/>
    <x v="40"/>
    <n v="72000"/>
    <x v="2"/>
    <m/>
    <m/>
    <m/>
    <s v="Business"/>
  </r>
  <r>
    <n v="6299"/>
    <x v="170"/>
    <x v="15"/>
    <n v="102753"/>
    <n v="77471"/>
    <n v="61603"/>
    <n v="4308"/>
    <x v="169"/>
    <x v="37"/>
    <n v="36000"/>
    <n v="83000"/>
    <x v="170"/>
    <x v="170"/>
    <x v="36"/>
    <x v="170"/>
    <n v="2236"/>
    <n v="8937"/>
    <x v="163"/>
    <x v="9"/>
    <n v="55000"/>
    <x v="22"/>
    <m/>
    <m/>
    <m/>
    <s v="Business"/>
  </r>
  <r>
    <n v="6402"/>
    <x v="171"/>
    <x v="3"/>
    <n v="712509"/>
    <n v="478416"/>
    <n v="354163"/>
    <n v="33725"/>
    <x v="170"/>
    <x v="0"/>
    <n v="35000"/>
    <n v="80000"/>
    <x v="171"/>
    <x v="171"/>
    <x v="12"/>
    <x v="171"/>
    <n v="35336"/>
    <n v="54569"/>
    <x v="164"/>
    <x v="2"/>
    <n v="52000"/>
    <x v="48"/>
    <m/>
    <m/>
    <m/>
    <s v="Humanities &amp; Liberal Arts"/>
  </r>
  <r>
    <n v="6403"/>
    <x v="172"/>
    <x v="3"/>
    <n v="17746"/>
    <n v="11887"/>
    <n v="8204"/>
    <n v="943"/>
    <x v="171"/>
    <x v="0"/>
    <n v="39000"/>
    <n v="81000"/>
    <x v="172"/>
    <x v="172"/>
    <x v="3"/>
    <x v="172"/>
    <n v="801"/>
    <n v="1591"/>
    <x v="165"/>
    <x v="43"/>
    <n v="52000"/>
    <x v="23"/>
    <m/>
    <m/>
    <m/>
    <s v="Humanities &amp; Liberal Ar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D96A58-9873-48F8-B4E4-1E94365181A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ajor_category">
  <location ref="A196:B207" firstHeaderRow="1" firstDataRow="1" firstDataCol="1"/>
  <pivotFields count="25">
    <pivotField showAll="0"/>
    <pivotField axis="axisRow" showAll="0" measureFilter="1">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dataFiel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
  </rowFields>
  <rowItems count="11">
    <i>
      <x v="23"/>
    </i>
    <i>
      <x v="52"/>
    </i>
    <i>
      <x v="77"/>
    </i>
    <i>
      <x v="106"/>
    </i>
    <i>
      <x v="112"/>
    </i>
    <i>
      <x v="115"/>
    </i>
    <i>
      <x v="131"/>
    </i>
    <i>
      <x v="133"/>
    </i>
    <i>
      <x v="140"/>
    </i>
    <i>
      <x v="142"/>
    </i>
    <i t="grand">
      <x/>
    </i>
  </rowItems>
  <colItems count="1">
    <i/>
  </colItems>
  <dataFields count="1">
    <dataField name="Average of Median" fld="8" subtotal="average" baseField="2"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0914C6-AF04-40D7-98E8-1D4FF843886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ajor_category">
  <location ref="J196:L308" firstHeaderRow="0" firstDataRow="1" firstDataCol="1" rowPageCount="1" colPageCount="1"/>
  <pivotFields count="25">
    <pivotField showAll="0"/>
    <pivotField axis="axisRow" showAll="0" measureFilter="1">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pivotField>
    <pivotField axis="axisPage"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dataField="1"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dataFiel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
  </rowFields>
  <rowItems count="112">
    <i>
      <x/>
    </i>
    <i>
      <x v="1"/>
    </i>
    <i>
      <x v="2"/>
    </i>
    <i>
      <x v="7"/>
    </i>
    <i>
      <x v="8"/>
    </i>
    <i>
      <x v="9"/>
    </i>
    <i>
      <x v="10"/>
    </i>
    <i>
      <x v="11"/>
    </i>
    <i>
      <x v="13"/>
    </i>
    <i>
      <x v="14"/>
    </i>
    <i>
      <x v="16"/>
    </i>
    <i>
      <x v="17"/>
    </i>
    <i>
      <x v="18"/>
    </i>
    <i>
      <x v="19"/>
    </i>
    <i>
      <x v="21"/>
    </i>
    <i>
      <x v="22"/>
    </i>
    <i>
      <x v="24"/>
    </i>
    <i>
      <x v="25"/>
    </i>
    <i>
      <x v="26"/>
    </i>
    <i>
      <x v="28"/>
    </i>
    <i>
      <x v="30"/>
    </i>
    <i>
      <x v="31"/>
    </i>
    <i>
      <x v="32"/>
    </i>
    <i>
      <x v="33"/>
    </i>
    <i>
      <x v="34"/>
    </i>
    <i>
      <x v="35"/>
    </i>
    <i>
      <x v="36"/>
    </i>
    <i>
      <x v="37"/>
    </i>
    <i>
      <x v="38"/>
    </i>
    <i>
      <x v="40"/>
    </i>
    <i>
      <x v="41"/>
    </i>
    <i>
      <x v="42"/>
    </i>
    <i>
      <x v="43"/>
    </i>
    <i>
      <x v="44"/>
    </i>
    <i>
      <x v="45"/>
    </i>
    <i>
      <x v="46"/>
    </i>
    <i>
      <x v="49"/>
    </i>
    <i>
      <x v="51"/>
    </i>
    <i>
      <x v="52"/>
    </i>
    <i>
      <x v="53"/>
    </i>
    <i>
      <x v="54"/>
    </i>
    <i>
      <x v="56"/>
    </i>
    <i>
      <x v="59"/>
    </i>
    <i>
      <x v="61"/>
    </i>
    <i>
      <x v="62"/>
    </i>
    <i>
      <x v="63"/>
    </i>
    <i>
      <x v="65"/>
    </i>
    <i>
      <x v="68"/>
    </i>
    <i>
      <x v="70"/>
    </i>
    <i>
      <x v="73"/>
    </i>
    <i>
      <x v="74"/>
    </i>
    <i>
      <x v="76"/>
    </i>
    <i>
      <x v="78"/>
    </i>
    <i>
      <x v="80"/>
    </i>
    <i>
      <x v="81"/>
    </i>
    <i>
      <x v="82"/>
    </i>
    <i>
      <x v="83"/>
    </i>
    <i>
      <x v="84"/>
    </i>
    <i>
      <x v="85"/>
    </i>
    <i>
      <x v="86"/>
    </i>
    <i>
      <x v="87"/>
    </i>
    <i>
      <x v="88"/>
    </i>
    <i>
      <x v="90"/>
    </i>
    <i>
      <x v="91"/>
    </i>
    <i>
      <x v="92"/>
    </i>
    <i>
      <x v="93"/>
    </i>
    <i>
      <x v="94"/>
    </i>
    <i>
      <x v="95"/>
    </i>
    <i>
      <x v="97"/>
    </i>
    <i>
      <x v="98"/>
    </i>
    <i>
      <x v="99"/>
    </i>
    <i>
      <x v="101"/>
    </i>
    <i>
      <x v="102"/>
    </i>
    <i>
      <x v="103"/>
    </i>
    <i>
      <x v="105"/>
    </i>
    <i>
      <x v="113"/>
    </i>
    <i>
      <x v="114"/>
    </i>
    <i>
      <x v="118"/>
    </i>
    <i>
      <x v="120"/>
    </i>
    <i>
      <x v="121"/>
    </i>
    <i>
      <x v="122"/>
    </i>
    <i>
      <x v="123"/>
    </i>
    <i>
      <x v="124"/>
    </i>
    <i>
      <x v="125"/>
    </i>
    <i>
      <x v="126"/>
    </i>
    <i>
      <x v="127"/>
    </i>
    <i>
      <x v="129"/>
    </i>
    <i>
      <x v="130"/>
    </i>
    <i>
      <x v="132"/>
    </i>
    <i>
      <x v="133"/>
    </i>
    <i>
      <x v="134"/>
    </i>
    <i>
      <x v="136"/>
    </i>
    <i>
      <x v="137"/>
    </i>
    <i>
      <x v="139"/>
    </i>
    <i>
      <x v="143"/>
    </i>
    <i>
      <x v="147"/>
    </i>
    <i>
      <x v="148"/>
    </i>
    <i>
      <x v="150"/>
    </i>
    <i>
      <x v="151"/>
    </i>
    <i>
      <x v="152"/>
    </i>
    <i>
      <x v="153"/>
    </i>
    <i>
      <x v="154"/>
    </i>
    <i>
      <x v="155"/>
    </i>
    <i>
      <x v="158"/>
    </i>
    <i>
      <x v="160"/>
    </i>
    <i>
      <x v="161"/>
    </i>
    <i>
      <x v="162"/>
    </i>
    <i>
      <x v="164"/>
    </i>
    <i>
      <x v="165"/>
    </i>
    <i>
      <x v="170"/>
    </i>
    <i>
      <x v="171"/>
    </i>
    <i t="grand">
      <x/>
    </i>
  </rowItems>
  <colFields count="1">
    <field x="-2"/>
  </colFields>
  <colItems count="2">
    <i>
      <x/>
    </i>
    <i i="1">
      <x v="1"/>
    </i>
  </colItems>
  <pageFields count="1">
    <pageField fld="2" hier="-1"/>
  </pageFields>
  <dataFields count="2">
    <dataField name="Average of Median" fld="8" subtotal="average" baseField="14" baseItem="0"/>
    <dataField name="Average of Unemployment_rate" fld="7" subtotal="average" baseField="1" baseItem="0"/>
  </dataFields>
  <pivotTableStyleInfo name="PivotStyleLight16" showRowHeaders="1" showColHeaders="1" showRowStripes="0" showColStripes="0" showLastColumn="1"/>
  <filters count="1">
    <filter fld="1" type="valueGreaterThan" evalOrder="-1" id="2" iMeasureFld="1">
      <autoFilter ref="A1">
        <filterColumn colId="0">
          <customFilters>
            <customFilter operator="greaterThan" val="0.0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41BFE5-A413-4808-9EFE-3F3D5A9103A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_category">
  <location ref="G20:I194" firstHeaderRow="0" firstDataRow="1" firstDataCol="1"/>
  <pivotFields count="25">
    <pivotField showAll="0"/>
    <pivotField axis="axisRow" showAll="0" sortType="ascending">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autoSortScope>
        <pivotArea dataOnly="0" outline="0" fieldPosition="0">
          <references count="1">
            <reference field="4294967294" count="1" selected="0">
              <x v="0"/>
            </reference>
          </references>
        </pivotArea>
      </autoSortScope>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dataField="1"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dataFiel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
  </rowFields>
  <rowItems count="174">
    <i>
      <x v="132"/>
    </i>
    <i>
      <x v="47"/>
    </i>
    <i>
      <x v="165"/>
    </i>
    <i>
      <x v="85"/>
    </i>
    <i>
      <x v="42"/>
    </i>
    <i>
      <x v="55"/>
    </i>
    <i>
      <x v="171"/>
    </i>
    <i>
      <x v="98"/>
    </i>
    <i>
      <x v="167"/>
    </i>
    <i>
      <x v="41"/>
    </i>
    <i>
      <x v="166"/>
    </i>
    <i>
      <x v="160"/>
    </i>
    <i>
      <x v="33"/>
    </i>
    <i>
      <x v="51"/>
    </i>
    <i>
      <x v="62"/>
    </i>
    <i>
      <x v="155"/>
    </i>
    <i>
      <x v="96"/>
    </i>
    <i>
      <x v="29"/>
    </i>
    <i>
      <x v="46"/>
    </i>
    <i>
      <x v="163"/>
    </i>
    <i>
      <x v="12"/>
    </i>
    <i>
      <x v="107"/>
    </i>
    <i>
      <x v="71"/>
    </i>
    <i>
      <x v="127"/>
    </i>
    <i>
      <x v="7"/>
    </i>
    <i>
      <x v="145"/>
    </i>
    <i>
      <x v="13"/>
    </i>
    <i>
      <x v="129"/>
    </i>
    <i>
      <x v="92"/>
    </i>
    <i>
      <x v="126"/>
    </i>
    <i>
      <x v="65"/>
    </i>
    <i>
      <x v="26"/>
    </i>
    <i>
      <x v="157"/>
    </i>
    <i>
      <x v="143"/>
    </i>
    <i>
      <x v="159"/>
    </i>
    <i>
      <x v="152"/>
    </i>
    <i>
      <x v="122"/>
    </i>
    <i>
      <x v="91"/>
    </i>
    <i>
      <x v="123"/>
    </i>
    <i>
      <x v="139"/>
    </i>
    <i>
      <x v="124"/>
    </i>
    <i>
      <x v="156"/>
    </i>
    <i>
      <x v="11"/>
    </i>
    <i>
      <x v="6"/>
    </i>
    <i>
      <x v="28"/>
    </i>
    <i>
      <x v="86"/>
    </i>
    <i>
      <x v="63"/>
    </i>
    <i>
      <x v="158"/>
    </i>
    <i>
      <x v="161"/>
    </i>
    <i>
      <x v="32"/>
    </i>
    <i>
      <x v="48"/>
    </i>
    <i>
      <x v="99"/>
    </i>
    <i>
      <x v="102"/>
    </i>
    <i>
      <x v="54"/>
    </i>
    <i>
      <x v="151"/>
    </i>
    <i>
      <x v="68"/>
    </i>
    <i>
      <x v="75"/>
    </i>
    <i>
      <x v="144"/>
    </i>
    <i>
      <x v="83"/>
    </i>
    <i>
      <x v="45"/>
    </i>
    <i>
      <x v="136"/>
    </i>
    <i>
      <x v="97"/>
    </i>
    <i>
      <x v="44"/>
    </i>
    <i>
      <x v="43"/>
    </i>
    <i>
      <x v="2"/>
    </i>
    <i>
      <x v="20"/>
    </i>
    <i>
      <x v="30"/>
    </i>
    <i>
      <x v="170"/>
    </i>
    <i>
      <x v="31"/>
    </i>
    <i>
      <x v="69"/>
    </i>
    <i>
      <x v="119"/>
    </i>
    <i>
      <x v="81"/>
    </i>
    <i>
      <x v="82"/>
    </i>
    <i>
      <x v="73"/>
    </i>
    <i>
      <x v="59"/>
    </i>
    <i>
      <x v="74"/>
    </i>
    <i>
      <x v="95"/>
    </i>
    <i>
      <x v="148"/>
    </i>
    <i>
      <x v="80"/>
    </i>
    <i>
      <x v="149"/>
    </i>
    <i>
      <x v="18"/>
    </i>
    <i>
      <x v="125"/>
    </i>
    <i>
      <x v="61"/>
    </i>
    <i>
      <x v="117"/>
    </i>
    <i>
      <x v="130"/>
    </i>
    <i>
      <x v="116"/>
    </i>
    <i>
      <x v="27"/>
    </i>
    <i>
      <x v="118"/>
    </i>
    <i>
      <x v="16"/>
    </i>
    <i>
      <x v="76"/>
    </i>
    <i>
      <x v="84"/>
    </i>
    <i>
      <x v="5"/>
    </i>
    <i>
      <x v="93"/>
    </i>
    <i>
      <x v="172"/>
    </i>
    <i>
      <x v="110"/>
    </i>
    <i>
      <x v="34"/>
    </i>
    <i>
      <x v="94"/>
    </i>
    <i>
      <x v="137"/>
    </i>
    <i>
      <x v="37"/>
    </i>
    <i>
      <x v="101"/>
    </i>
    <i>
      <x v="153"/>
    </i>
    <i>
      <x v="128"/>
    </i>
    <i>
      <x v="79"/>
    </i>
    <i>
      <x v="67"/>
    </i>
    <i>
      <x v="50"/>
    </i>
    <i>
      <x v="22"/>
    </i>
    <i>
      <x v="150"/>
    </i>
    <i>
      <x v="24"/>
    </i>
    <i>
      <x v="109"/>
    </i>
    <i>
      <x v="15"/>
    </i>
    <i>
      <x v="38"/>
    </i>
    <i>
      <x v="111"/>
    </i>
    <i>
      <x v="70"/>
    </i>
    <i>
      <x v="154"/>
    </i>
    <i>
      <x v="141"/>
    </i>
    <i>
      <x v="113"/>
    </i>
    <i>
      <x v="146"/>
    </i>
    <i>
      <x v="169"/>
    </i>
    <i>
      <x v="88"/>
    </i>
    <i>
      <x v="134"/>
    </i>
    <i>
      <x v="135"/>
    </i>
    <i>
      <x v="66"/>
    </i>
    <i>
      <x v="17"/>
    </i>
    <i>
      <x v="4"/>
    </i>
    <i>
      <x v="58"/>
    </i>
    <i>
      <x v="121"/>
    </i>
    <i>
      <x v="10"/>
    </i>
    <i>
      <x v="162"/>
    </i>
    <i>
      <x v="114"/>
    </i>
    <i>
      <x v="35"/>
    </i>
    <i>
      <x/>
    </i>
    <i>
      <x v="21"/>
    </i>
    <i>
      <x v="57"/>
    </i>
    <i>
      <x v="78"/>
    </i>
    <i>
      <x v="64"/>
    </i>
    <i>
      <x v="138"/>
    </i>
    <i>
      <x v="19"/>
    </i>
    <i>
      <x v="40"/>
    </i>
    <i>
      <x v="105"/>
    </i>
    <i>
      <x v="53"/>
    </i>
    <i>
      <x v="168"/>
    </i>
    <i>
      <x v="90"/>
    </i>
    <i>
      <x v="49"/>
    </i>
    <i>
      <x v="147"/>
    </i>
    <i>
      <x v="60"/>
    </i>
    <i>
      <x v="164"/>
    </i>
    <i>
      <x v="89"/>
    </i>
    <i>
      <x v="120"/>
    </i>
    <i>
      <x v="8"/>
    </i>
    <i>
      <x v="100"/>
    </i>
    <i>
      <x v="1"/>
    </i>
    <i>
      <x v="56"/>
    </i>
    <i>
      <x v="72"/>
    </i>
    <i>
      <x v="87"/>
    </i>
    <i>
      <x v="104"/>
    </i>
    <i>
      <x v="25"/>
    </i>
    <i>
      <x v="39"/>
    </i>
    <i>
      <x v="9"/>
    </i>
    <i>
      <x v="103"/>
    </i>
    <i>
      <x v="108"/>
    </i>
    <i>
      <x v="3"/>
    </i>
    <i>
      <x v="14"/>
    </i>
    <i>
      <x v="36"/>
    </i>
    <i>
      <x v="77"/>
    </i>
    <i>
      <x v="23"/>
    </i>
    <i>
      <x v="52"/>
    </i>
    <i>
      <x v="115"/>
    </i>
    <i>
      <x v="106"/>
    </i>
    <i>
      <x v="133"/>
    </i>
    <i>
      <x v="112"/>
    </i>
    <i>
      <x v="131"/>
    </i>
    <i>
      <x v="142"/>
    </i>
    <i>
      <x v="140"/>
    </i>
    <i t="grand">
      <x/>
    </i>
  </rowItems>
  <colFields count="1">
    <field x="-2"/>
  </colFields>
  <colItems count="2">
    <i>
      <x/>
    </i>
    <i i="1">
      <x v="1"/>
    </i>
  </colItems>
  <dataFields count="2">
    <dataField name="Average of Median" fld="8" subtotal="average" baseField="1" baseItem="0"/>
    <dataField name="Average of Unemployment_rate" fld="7" subtotal="average" baseField="1" baseItem="1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6208DC-D4DB-44A2-B7AF-4BFEEBD79D8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_category">
  <location ref="W4:Y178" firstHeaderRow="0" firstDataRow="1" firstDataCol="1"/>
  <pivotFields count="25">
    <pivotField showAll="0"/>
    <pivotField axis="axisRow" showAll="0" sortType="descending">
      <items count="174">
        <item x="87"/>
        <item x="141"/>
        <item x="172"/>
        <item x="155"/>
        <item x="137"/>
        <item x="102"/>
        <item x="36"/>
        <item x="145"/>
        <item x="92"/>
        <item x="34"/>
        <item x="6"/>
        <item x="133"/>
        <item x="125"/>
        <item x="35"/>
        <item x="119"/>
        <item x="33"/>
        <item x="32"/>
        <item x="27"/>
        <item x="123"/>
        <item x="122"/>
        <item x="114"/>
        <item x="72"/>
        <item x="132"/>
        <item x="5"/>
        <item x="86"/>
        <item x="110"/>
        <item x="103"/>
        <item x="100"/>
        <item x="30"/>
        <item x="101"/>
        <item x="154"/>
        <item x="85"/>
        <item x="59"/>
        <item x="69"/>
        <item x="162"/>
        <item x="109"/>
        <item x="96"/>
        <item x="153"/>
        <item x="113"/>
        <item x="58"/>
        <item x="88"/>
        <item x="57"/>
        <item x="10"/>
        <item x="140"/>
        <item x="112"/>
        <item x="94"/>
        <item x="81"/>
        <item x="134"/>
        <item x="120"/>
        <item x="157"/>
        <item x="146"/>
        <item x="66"/>
        <item x="60"/>
        <item x="39"/>
        <item x="170"/>
        <item x="89"/>
        <item x="7"/>
        <item x="56"/>
        <item x="93"/>
        <item x="84"/>
        <item x="55"/>
        <item x="151"/>
        <item x="150"/>
        <item x="65"/>
        <item x="54"/>
        <item x="29"/>
        <item x="97"/>
        <item x="90"/>
        <item x="111"/>
        <item x="53"/>
        <item x="15"/>
        <item x="164"/>
        <item x="169"/>
        <item x="67"/>
        <item x="77"/>
        <item x="75"/>
        <item x="37"/>
        <item x="14"/>
        <item x="131"/>
        <item x="167"/>
        <item x="99"/>
        <item x="95"/>
        <item x="21"/>
        <item x="64"/>
        <item x="118"/>
        <item x="52"/>
        <item x="76"/>
        <item x="124"/>
        <item x="166"/>
        <item x="168"/>
        <item x="171"/>
        <item x="152"/>
        <item x="149"/>
        <item x="108"/>
        <item x="107"/>
        <item x="51"/>
        <item x="130"/>
        <item x="83"/>
        <item x="126"/>
        <item x="147"/>
        <item x="40"/>
        <item x="25"/>
        <item x="158"/>
        <item x="0"/>
        <item x="68"/>
        <item x="9"/>
        <item x="4"/>
        <item x="138"/>
        <item x="165"/>
        <item x="143"/>
        <item x="70"/>
        <item x="8"/>
        <item x="50"/>
        <item x="73"/>
        <item x="61"/>
        <item x="49"/>
        <item x="62"/>
        <item x="28"/>
        <item x="136"/>
        <item x="63"/>
        <item x="48"/>
        <item x="115"/>
        <item x="26"/>
        <item x="127"/>
        <item x="82"/>
        <item x="31"/>
        <item x="139"/>
        <item x="129"/>
        <item x="121"/>
        <item x="71"/>
        <item x="117"/>
        <item x="24"/>
        <item x="135"/>
        <item x="20"/>
        <item x="19"/>
        <item x="23"/>
        <item x="47"/>
        <item x="18"/>
        <item x="22"/>
        <item x="74"/>
        <item x="156"/>
        <item x="13"/>
        <item x="17"/>
        <item x="148"/>
        <item x="142"/>
        <item x="98"/>
        <item x="116"/>
        <item x="46"/>
        <item x="106"/>
        <item x="45"/>
        <item x="161"/>
        <item x="163"/>
        <item x="80"/>
        <item x="44"/>
        <item x="78"/>
        <item x="42"/>
        <item x="79"/>
        <item x="105"/>
        <item x="104"/>
        <item x="144"/>
        <item x="38"/>
        <item x="12"/>
        <item x="11"/>
        <item x="43"/>
        <item x="91"/>
        <item x="128"/>
        <item x="3"/>
        <item x="1"/>
        <item x="2"/>
        <item x="41"/>
        <item x="16"/>
        <item x="160"/>
        <item x="159"/>
        <item t="default"/>
      </items>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multipleItemSelectionAllowed="1"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dataField="1" multipleItemSelectionAllowe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dataField="1"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
  </rowFields>
  <rowItems count="1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t="grand">
      <x/>
    </i>
  </rowItems>
  <colFields count="1">
    <field x="-2"/>
  </colFields>
  <colItems count="2">
    <i>
      <x/>
    </i>
    <i i="1">
      <x v="1"/>
    </i>
  </colItems>
  <dataFields count="2">
    <dataField name="Average of ShareWomen" fld="14" subtotal="average" baseField="1" baseItem="0"/>
    <dataField name="Average of Median" fld="8" subtotal="average" baseField="1"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D3356B-E812-4CD1-87B5-6442C7F9CD1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ajor_category">
  <location ref="A209:B383" firstHeaderRow="1" firstDataRow="1" firstDataCol="1"/>
  <pivotFields count="25">
    <pivotField showAll="0"/>
    <pivotField showAll="0">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dataFiel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axis="axisRow"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4"/>
  </rowFields>
  <rowItems count="1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t="grand">
      <x/>
    </i>
  </rowItems>
  <colItems count="1">
    <i/>
  </colItems>
  <dataFields count="1">
    <dataField name="Average of Median" fld="8"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203649-D9A2-4240-8C52-8C324FA1A58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ajor_category">
  <location ref="D1:E18" firstHeaderRow="1" firstDataRow="1" firstDataCol="1"/>
  <pivotFields count="25">
    <pivotField showAll="0"/>
    <pivotField showAll="0">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pivotField>
    <pivotField axis="axisRow"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dataField="1"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Average of Unemployment_rate" fld="7" subtotal="average"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B3C12F-6043-44AA-9FB8-CEBF433A889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_category">
  <location ref="AD4:ES180" firstHeaderRow="1" firstDataRow="3" firstDataCol="1"/>
  <pivotFields count="25">
    <pivotField showAll="0"/>
    <pivotField axis="axisRow" showAll="0" sortType="descending">
      <items count="174">
        <item x="87"/>
        <item x="141"/>
        <item x="172"/>
        <item x="155"/>
        <item x="137"/>
        <item x="102"/>
        <item x="36"/>
        <item x="145"/>
        <item x="92"/>
        <item x="34"/>
        <item x="6"/>
        <item x="133"/>
        <item x="125"/>
        <item x="35"/>
        <item x="119"/>
        <item x="33"/>
        <item x="32"/>
        <item x="27"/>
        <item x="123"/>
        <item x="122"/>
        <item x="114"/>
        <item x="72"/>
        <item x="132"/>
        <item x="5"/>
        <item x="86"/>
        <item x="110"/>
        <item x="103"/>
        <item x="100"/>
        <item x="30"/>
        <item x="101"/>
        <item x="154"/>
        <item x="85"/>
        <item x="59"/>
        <item x="69"/>
        <item x="162"/>
        <item x="109"/>
        <item x="96"/>
        <item x="153"/>
        <item x="113"/>
        <item x="58"/>
        <item x="88"/>
        <item x="57"/>
        <item x="10"/>
        <item x="140"/>
        <item x="112"/>
        <item x="94"/>
        <item x="81"/>
        <item x="134"/>
        <item x="120"/>
        <item x="157"/>
        <item x="146"/>
        <item x="66"/>
        <item x="60"/>
        <item x="39"/>
        <item x="170"/>
        <item x="89"/>
        <item x="7"/>
        <item x="56"/>
        <item x="93"/>
        <item x="84"/>
        <item x="55"/>
        <item x="151"/>
        <item x="150"/>
        <item x="65"/>
        <item x="54"/>
        <item x="29"/>
        <item x="97"/>
        <item x="90"/>
        <item x="111"/>
        <item x="53"/>
        <item x="15"/>
        <item x="164"/>
        <item x="169"/>
        <item x="67"/>
        <item x="77"/>
        <item x="75"/>
        <item x="37"/>
        <item x="14"/>
        <item x="131"/>
        <item x="167"/>
        <item x="99"/>
        <item x="95"/>
        <item x="21"/>
        <item x="64"/>
        <item x="118"/>
        <item x="52"/>
        <item x="76"/>
        <item x="124"/>
        <item x="166"/>
        <item x="168"/>
        <item x="171"/>
        <item x="152"/>
        <item x="149"/>
        <item x="108"/>
        <item x="107"/>
        <item x="51"/>
        <item x="130"/>
        <item x="83"/>
        <item x="126"/>
        <item x="147"/>
        <item x="40"/>
        <item x="25"/>
        <item x="158"/>
        <item x="0"/>
        <item x="68"/>
        <item x="9"/>
        <item x="4"/>
        <item x="138"/>
        <item x="165"/>
        <item x="143"/>
        <item x="70"/>
        <item x="8"/>
        <item x="50"/>
        <item x="73"/>
        <item x="61"/>
        <item x="49"/>
        <item x="62"/>
        <item x="28"/>
        <item x="136"/>
        <item x="63"/>
        <item x="48"/>
        <item x="115"/>
        <item x="26"/>
        <item x="127"/>
        <item x="82"/>
        <item x="31"/>
        <item x="139"/>
        <item x="129"/>
        <item x="121"/>
        <item x="71"/>
        <item x="117"/>
        <item x="24"/>
        <item x="135"/>
        <item x="20"/>
        <item x="19"/>
        <item x="23"/>
        <item x="47"/>
        <item x="18"/>
        <item x="22"/>
        <item x="74"/>
        <item x="156"/>
        <item x="13"/>
        <item x="17"/>
        <item x="148"/>
        <item x="142"/>
        <item x="98"/>
        <item x="116"/>
        <item x="46"/>
        <item x="106"/>
        <item x="45"/>
        <item x="161"/>
        <item x="163"/>
        <item x="80"/>
        <item x="44"/>
        <item x="78"/>
        <item x="42"/>
        <item x="79"/>
        <item x="105"/>
        <item x="104"/>
        <item x="144"/>
        <item x="38"/>
        <item x="12"/>
        <item x="11"/>
        <item x="43"/>
        <item x="91"/>
        <item x="128"/>
        <item x="3"/>
        <item x="1"/>
        <item x="2"/>
        <item x="41"/>
        <item x="16"/>
        <item x="160"/>
        <item x="159"/>
        <item t="default"/>
      </items>
    </pivotField>
    <pivotField axis="axisCol"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dataField="1" multipleItemSelectionAllowed="1"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dataField="1" multipleItemSelectionAllowe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dataField="1"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dataField="1"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dataField="1"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dataField="1"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dataField="1"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
  </rowFields>
  <rowItems count="1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t="grand">
      <x/>
    </i>
  </rowItems>
  <colFields count="2">
    <field x="-2"/>
    <field x="2"/>
  </colFields>
  <colItems count="119">
    <i>
      <x/>
      <x/>
    </i>
    <i r="1">
      <x v="1"/>
    </i>
    <i r="1">
      <x v="2"/>
    </i>
    <i r="1">
      <x v="3"/>
    </i>
    <i r="1">
      <x v="4"/>
    </i>
    <i r="1">
      <x v="5"/>
    </i>
    <i r="1">
      <x v="6"/>
    </i>
    <i r="1">
      <x v="7"/>
    </i>
    <i r="1">
      <x v="8"/>
    </i>
    <i r="1">
      <x v="9"/>
    </i>
    <i r="1">
      <x v="10"/>
    </i>
    <i r="1">
      <x v="11"/>
    </i>
    <i r="1">
      <x v="12"/>
    </i>
    <i r="1">
      <x v="13"/>
    </i>
    <i r="1">
      <x v="14"/>
    </i>
    <i r="1">
      <x v="15"/>
    </i>
    <i i="1">
      <x v="1"/>
      <x/>
    </i>
    <i r="1" i="1">
      <x v="1"/>
    </i>
    <i r="1" i="1">
      <x v="2"/>
    </i>
    <i r="1" i="1">
      <x v="3"/>
    </i>
    <i r="1" i="1">
      <x v="4"/>
    </i>
    <i r="1" i="1">
      <x v="5"/>
    </i>
    <i r="1" i="1">
      <x v="6"/>
    </i>
    <i r="1" i="1">
      <x v="7"/>
    </i>
    <i r="1" i="1">
      <x v="8"/>
    </i>
    <i r="1" i="1">
      <x v="9"/>
    </i>
    <i r="1" i="1">
      <x v="10"/>
    </i>
    <i r="1" i="1">
      <x v="11"/>
    </i>
    <i r="1" i="1">
      <x v="12"/>
    </i>
    <i r="1" i="1">
      <x v="13"/>
    </i>
    <i r="1" i="1">
      <x v="14"/>
    </i>
    <i r="1" i="1">
      <x v="15"/>
    </i>
    <i i="2">
      <x v="2"/>
      <x/>
    </i>
    <i r="1" i="2">
      <x v="1"/>
    </i>
    <i r="1" i="2">
      <x v="2"/>
    </i>
    <i r="1" i="2">
      <x v="3"/>
    </i>
    <i r="1" i="2">
      <x v="4"/>
    </i>
    <i r="1" i="2">
      <x v="5"/>
    </i>
    <i r="1" i="2">
      <x v="6"/>
    </i>
    <i r="1" i="2">
      <x v="7"/>
    </i>
    <i r="1" i="2">
      <x v="8"/>
    </i>
    <i r="1" i="2">
      <x v="9"/>
    </i>
    <i r="1" i="2">
      <x v="10"/>
    </i>
    <i r="1" i="2">
      <x v="11"/>
    </i>
    <i r="1" i="2">
      <x v="12"/>
    </i>
    <i r="1" i="2">
      <x v="13"/>
    </i>
    <i r="1" i="2">
      <x v="14"/>
    </i>
    <i r="1" i="2">
      <x v="15"/>
    </i>
    <i i="3">
      <x v="3"/>
      <x/>
    </i>
    <i r="1" i="3">
      <x v="1"/>
    </i>
    <i r="1" i="3">
      <x v="2"/>
    </i>
    <i r="1" i="3">
      <x v="3"/>
    </i>
    <i r="1" i="3">
      <x v="4"/>
    </i>
    <i r="1" i="3">
      <x v="5"/>
    </i>
    <i r="1" i="3">
      <x v="6"/>
    </i>
    <i r="1" i="3">
      <x v="7"/>
    </i>
    <i r="1" i="3">
      <x v="8"/>
    </i>
    <i r="1" i="3">
      <x v="9"/>
    </i>
    <i r="1" i="3">
      <x v="10"/>
    </i>
    <i r="1" i="3">
      <x v="11"/>
    </i>
    <i r="1" i="3">
      <x v="12"/>
    </i>
    <i r="1" i="3">
      <x v="13"/>
    </i>
    <i r="1" i="3">
      <x v="14"/>
    </i>
    <i r="1" i="3">
      <x v="15"/>
    </i>
    <i i="4">
      <x v="4"/>
      <x/>
    </i>
    <i r="1" i="4">
      <x v="1"/>
    </i>
    <i r="1" i="4">
      <x v="2"/>
    </i>
    <i r="1" i="4">
      <x v="3"/>
    </i>
    <i r="1" i="4">
      <x v="4"/>
    </i>
    <i r="1" i="4">
      <x v="5"/>
    </i>
    <i r="1" i="4">
      <x v="6"/>
    </i>
    <i r="1" i="4">
      <x v="7"/>
    </i>
    <i r="1" i="4">
      <x v="8"/>
    </i>
    <i r="1" i="4">
      <x v="9"/>
    </i>
    <i r="1" i="4">
      <x v="10"/>
    </i>
    <i r="1" i="4">
      <x v="11"/>
    </i>
    <i r="1" i="4">
      <x v="12"/>
    </i>
    <i r="1" i="4">
      <x v="13"/>
    </i>
    <i r="1" i="4">
      <x v="14"/>
    </i>
    <i r="1" i="4">
      <x v="15"/>
    </i>
    <i i="5">
      <x v="5"/>
      <x/>
    </i>
    <i r="1" i="5">
      <x v="1"/>
    </i>
    <i r="1" i="5">
      <x v="2"/>
    </i>
    <i r="1" i="5">
      <x v="3"/>
    </i>
    <i r="1" i="5">
      <x v="4"/>
    </i>
    <i r="1" i="5">
      <x v="5"/>
    </i>
    <i r="1" i="5">
      <x v="6"/>
    </i>
    <i r="1" i="5">
      <x v="7"/>
    </i>
    <i r="1" i="5">
      <x v="8"/>
    </i>
    <i r="1" i="5">
      <x v="9"/>
    </i>
    <i r="1" i="5">
      <x v="10"/>
    </i>
    <i r="1" i="5">
      <x v="11"/>
    </i>
    <i r="1" i="5">
      <x v="12"/>
    </i>
    <i r="1" i="5">
      <x v="13"/>
    </i>
    <i r="1" i="5">
      <x v="14"/>
    </i>
    <i r="1" i="5">
      <x v="15"/>
    </i>
    <i i="6">
      <x v="6"/>
      <x/>
    </i>
    <i r="1" i="6">
      <x v="1"/>
    </i>
    <i r="1" i="6">
      <x v="2"/>
    </i>
    <i r="1" i="6">
      <x v="3"/>
    </i>
    <i r="1" i="6">
      <x v="4"/>
    </i>
    <i r="1" i="6">
      <x v="5"/>
    </i>
    <i r="1" i="6">
      <x v="6"/>
    </i>
    <i r="1" i="6">
      <x v="7"/>
    </i>
    <i r="1" i="6">
      <x v="8"/>
    </i>
    <i r="1" i="6">
      <x v="9"/>
    </i>
    <i r="1" i="6">
      <x v="10"/>
    </i>
    <i r="1" i="6">
      <x v="11"/>
    </i>
    <i r="1" i="6">
      <x v="12"/>
    </i>
    <i r="1" i="6">
      <x v="13"/>
    </i>
    <i r="1" i="6">
      <x v="14"/>
    </i>
    <i r="1" i="6">
      <x v="15"/>
    </i>
    <i t="grand">
      <x/>
    </i>
    <i t="grand" i="1">
      <x/>
    </i>
    <i t="grand" i="2">
      <x/>
    </i>
    <i t="grand" i="3">
      <x/>
    </i>
    <i t="grand" i="4">
      <x/>
    </i>
    <i t="grand" i="5">
      <x/>
    </i>
    <i t="grand" i="6">
      <x/>
    </i>
  </colItems>
  <dataFields count="7">
    <dataField name="Average of full_time_share" fld="12" subtotal="average" baseField="1" baseItem="0"/>
    <dataField name="Average of salary_spread" fld="13" subtotal="average" baseField="1" baseItem="0"/>
    <dataField name="Average of ShareWomen" fld="14" subtotal="average" baseField="1" baseItem="0"/>
    <dataField name="Average of employment_rate" fld="11" subtotal="average" baseField="1" baseItem="0"/>
    <dataField name="Average of salary_premium" fld="20" subtotal="average" baseField="1" baseItem="0"/>
    <dataField name="Average of Median" fld="8" subtotal="average" baseField="1" baseItem="7"/>
    <dataField name="Average of Unemployment_rate" fld="7"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F6C61B-3F26-44FE-80AC-7D9BD8C7781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_category">
  <location ref="T4:U178" firstHeaderRow="1" firstDataRow="1" firstDataCol="1"/>
  <pivotFields count="25">
    <pivotField showAll="0"/>
    <pivotField axis="axisRow" showAll="0" sortType="descending">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autoSortScope>
        <pivotArea dataOnly="0" outline="0" fieldPosition="0">
          <references count="1">
            <reference field="4294967294" count="1" selected="0">
              <x v="0"/>
            </reference>
          </references>
        </pivotArea>
      </autoSortScope>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multipleItemSelectionAllowed="1"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multipleItemSelectionAllowe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dataField="1"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
  </rowFields>
  <rowItems count="174">
    <i>
      <x v="7"/>
    </i>
    <i>
      <x v="47"/>
    </i>
    <i>
      <x v="106"/>
    </i>
    <i>
      <x v="55"/>
    </i>
    <i>
      <x v="6"/>
    </i>
    <i>
      <x v="148"/>
    </i>
    <i>
      <x v="124"/>
    </i>
    <i>
      <x v="85"/>
    </i>
    <i>
      <x v="135"/>
    </i>
    <i>
      <x v="79"/>
    </i>
    <i>
      <x v="98"/>
    </i>
    <i>
      <x v="102"/>
    </i>
    <i>
      <x v="30"/>
    </i>
    <i>
      <x v="27"/>
    </i>
    <i>
      <x v="13"/>
    </i>
    <i>
      <x v="51"/>
    </i>
    <i>
      <x v="71"/>
    </i>
    <i>
      <x v="160"/>
    </i>
    <i>
      <x v="26"/>
    </i>
    <i>
      <x v="166"/>
    </i>
    <i>
      <x v="42"/>
    </i>
    <i>
      <x v="107"/>
    </i>
    <i>
      <x v="152"/>
    </i>
    <i>
      <x v="73"/>
    </i>
    <i>
      <x v="80"/>
    </i>
    <i>
      <x v="162"/>
    </i>
    <i>
      <x v="99"/>
    </i>
    <i>
      <x v="11"/>
    </i>
    <i>
      <x v="8"/>
    </i>
    <i>
      <x v="62"/>
    </i>
    <i>
      <x v="89"/>
    </i>
    <i>
      <x v="158"/>
    </i>
    <i>
      <x v="86"/>
    </i>
    <i>
      <x v="83"/>
    </i>
    <i>
      <x v="159"/>
    </i>
    <i>
      <x v="167"/>
    </i>
    <i>
      <x v="68"/>
    </i>
    <i>
      <x v="92"/>
    </i>
    <i>
      <x v="116"/>
    </i>
    <i>
      <x v="95"/>
    </i>
    <i>
      <x v="119"/>
    </i>
    <i>
      <x v="35"/>
    </i>
    <i>
      <x v="29"/>
    </i>
    <i>
      <x v="123"/>
    </i>
    <i>
      <x v="97"/>
    </i>
    <i>
      <x v="171"/>
    </i>
    <i>
      <x v="67"/>
    </i>
    <i>
      <x v="139"/>
    </i>
    <i>
      <x v="137"/>
    </i>
    <i>
      <x v="63"/>
    </i>
    <i>
      <x v="12"/>
    </i>
    <i>
      <x v="145"/>
    </i>
    <i>
      <x v="2"/>
    </i>
    <i>
      <x v="84"/>
    </i>
    <i>
      <x v="128"/>
    </i>
    <i>
      <x v="65"/>
    </i>
    <i>
      <x v="33"/>
    </i>
    <i>
      <x v="32"/>
    </i>
    <i>
      <x v="82"/>
    </i>
    <i>
      <x v="48"/>
    </i>
    <i>
      <x v="75"/>
    </i>
    <i>
      <x v="169"/>
    </i>
    <i>
      <x v="136"/>
    </i>
    <i>
      <x v="172"/>
    </i>
    <i>
      <x v="94"/>
    </i>
    <i>
      <x v="170"/>
    </i>
    <i>
      <x v="46"/>
    </i>
    <i>
      <x v="45"/>
    </i>
    <i>
      <x v="113"/>
    </i>
    <i>
      <x v="149"/>
    </i>
    <i>
      <x v="18"/>
    </i>
    <i>
      <x v="157"/>
    </i>
    <i>
      <x v="5"/>
    </i>
    <i>
      <x v="151"/>
    </i>
    <i>
      <x v="4"/>
    </i>
    <i>
      <x v="165"/>
    </i>
    <i>
      <x v="61"/>
    </i>
    <i>
      <x v="22"/>
    </i>
    <i>
      <x v="39"/>
    </i>
    <i>
      <x v="96"/>
    </i>
    <i>
      <x v="117"/>
    </i>
    <i>
      <x v="155"/>
    </i>
    <i>
      <x v="130"/>
    </i>
    <i>
      <x v="60"/>
    </i>
    <i>
      <x v="81"/>
    </i>
    <i>
      <x v="125"/>
    </i>
    <i>
      <x v="1"/>
    </i>
    <i>
      <x v="161"/>
    </i>
    <i>
      <x v="20"/>
    </i>
    <i>
      <x v="90"/>
    </i>
    <i>
      <x v="141"/>
    </i>
    <i>
      <x v="69"/>
    </i>
    <i>
      <x v="16"/>
    </i>
    <i>
      <x v="91"/>
    </i>
    <i>
      <x v="144"/>
    </i>
    <i>
      <x v="24"/>
    </i>
    <i>
      <x v="74"/>
    </i>
    <i>
      <x v="127"/>
    </i>
    <i>
      <x v="150"/>
    </i>
    <i>
      <x v="153"/>
    </i>
    <i>
      <x v="132"/>
    </i>
    <i>
      <x v="76"/>
    </i>
    <i>
      <x v="78"/>
    </i>
    <i>
      <x v="142"/>
    </i>
    <i>
      <x v="50"/>
    </i>
    <i>
      <x v="147"/>
    </i>
    <i>
      <x v="129"/>
    </i>
    <i>
      <x v="14"/>
    </i>
    <i>
      <x v="52"/>
    </i>
    <i>
      <x v="88"/>
    </i>
    <i>
      <x v="111"/>
    </i>
    <i>
      <x v="134"/>
    </i>
    <i>
      <x v="114"/>
    </i>
    <i>
      <x v="146"/>
    </i>
    <i>
      <x v="156"/>
    </i>
    <i>
      <x v="70"/>
    </i>
    <i>
      <x v="143"/>
    </i>
    <i>
      <x v="122"/>
    </i>
    <i>
      <x v="41"/>
    </i>
    <i>
      <x v="101"/>
    </i>
    <i>
      <x v="109"/>
    </i>
    <i>
      <x v="28"/>
    </i>
    <i>
      <x v="163"/>
    </i>
    <i>
      <x v="64"/>
    </i>
    <i>
      <x v="9"/>
    </i>
    <i>
      <x v="87"/>
    </i>
    <i>
      <x v="40"/>
    </i>
    <i>
      <x v="23"/>
    </i>
    <i>
      <x v="49"/>
    </i>
    <i>
      <x v="59"/>
    </i>
    <i>
      <x v="53"/>
    </i>
    <i>
      <x v="77"/>
    </i>
    <i>
      <x v="138"/>
    </i>
    <i>
      <x v="10"/>
    </i>
    <i>
      <x v="168"/>
    </i>
    <i>
      <x v="17"/>
    </i>
    <i>
      <x v="104"/>
    </i>
    <i>
      <x v="31"/>
    </i>
    <i>
      <x v="37"/>
    </i>
    <i>
      <x v="103"/>
    </i>
    <i>
      <x v="93"/>
    </i>
    <i>
      <x v="164"/>
    </i>
    <i>
      <x v="100"/>
    </i>
    <i>
      <x v="38"/>
    </i>
    <i>
      <x/>
    </i>
    <i>
      <x v="72"/>
    </i>
    <i>
      <x v="154"/>
    </i>
    <i>
      <x v="21"/>
    </i>
    <i>
      <x v="105"/>
    </i>
    <i>
      <x v="43"/>
    </i>
    <i>
      <x v="54"/>
    </i>
    <i>
      <x v="25"/>
    </i>
    <i>
      <x v="66"/>
    </i>
    <i>
      <x v="118"/>
    </i>
    <i>
      <x v="36"/>
    </i>
    <i>
      <x v="3"/>
    </i>
    <i>
      <x v="120"/>
    </i>
    <i>
      <x v="57"/>
    </i>
    <i>
      <x v="34"/>
    </i>
    <i>
      <x v="110"/>
    </i>
    <i>
      <x v="56"/>
    </i>
    <i>
      <x v="112"/>
    </i>
    <i>
      <x v="133"/>
    </i>
    <i>
      <x v="108"/>
    </i>
    <i>
      <x v="44"/>
    </i>
    <i>
      <x v="15"/>
    </i>
    <i>
      <x v="140"/>
    </i>
    <i>
      <x v="19"/>
    </i>
    <i>
      <x v="131"/>
    </i>
    <i>
      <x v="115"/>
    </i>
    <i>
      <x v="58"/>
    </i>
    <i>
      <x v="126"/>
    </i>
    <i>
      <x v="121"/>
    </i>
    <i t="grand">
      <x/>
    </i>
  </rowItems>
  <colItems count="1">
    <i/>
  </colItems>
  <dataFields count="1">
    <dataField name="Average of ShareWomen" fld="1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1C7C04-2E17-4F5C-BA95-43C263E779BC}"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2:K83" firstHeaderRow="1" firstDataRow="1" firstDataCol="1"/>
  <pivotFields count="25">
    <pivotField showAll="0"/>
    <pivotField showAll="0">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axis="axisRow" showAll="0">
      <items count="61">
        <item x="16"/>
        <item x="42"/>
        <item x="20"/>
        <item x="47"/>
        <item x="52"/>
        <item x="38"/>
        <item x="48"/>
        <item x="6"/>
        <item x="19"/>
        <item x="18"/>
        <item x="10"/>
        <item x="17"/>
        <item x="51"/>
        <item x="23"/>
        <item x="11"/>
        <item x="22"/>
        <item x="21"/>
        <item x="45"/>
        <item x="5"/>
        <item x="41"/>
        <item x="1"/>
        <item x="0"/>
        <item x="56"/>
        <item x="49"/>
        <item x="8"/>
        <item x="3"/>
        <item x="46"/>
        <item x="4"/>
        <item x="50"/>
        <item x="35"/>
        <item x="9"/>
        <item x="37"/>
        <item x="58"/>
        <item x="7"/>
        <item x="53"/>
        <item x="2"/>
        <item x="15"/>
        <item x="43"/>
        <item x="14"/>
        <item x="36"/>
        <item x="12"/>
        <item x="44"/>
        <item x="57"/>
        <item x="40"/>
        <item x="26"/>
        <item x="32"/>
        <item x="59"/>
        <item x="13"/>
        <item x="39"/>
        <item x="29"/>
        <item x="28"/>
        <item x="24"/>
        <item x="27"/>
        <item x="31"/>
        <item x="30"/>
        <item x="25"/>
        <item x="33"/>
        <item x="55"/>
        <item x="34"/>
        <item x="54"/>
        <item t="default"/>
      </items>
    </pivotField>
    <pivotField dataField="1"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8"/>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Average of Nongrad_median" fld="19" subtotal="average"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B4B1F2-052D-4C2F-8F8E-A99C81D6DFD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K12" firstHeaderRow="1" firstDataRow="1" firstDataCol="1"/>
  <pivotFields count="25">
    <pivotField showAll="0"/>
    <pivotField axis="axisRow" showAll="0" measureFilter="1" sortType="descending">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autoSortScope>
        <pivotArea dataOnly="0" outline="0" fieldPosition="0">
          <references count="1">
            <reference field="4294967294" count="1" selected="0">
              <x v="0"/>
            </reference>
          </references>
        </pivotArea>
      </autoSortScope>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dataField="1"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
  </rowFields>
  <rowItems count="11">
    <i>
      <x v="114"/>
    </i>
    <i>
      <x v="133"/>
    </i>
    <i>
      <x v="109"/>
    </i>
    <i>
      <x v="100"/>
    </i>
    <i>
      <x v="1"/>
    </i>
    <i>
      <x v="89"/>
    </i>
    <i>
      <x v="35"/>
    </i>
    <i>
      <x v="53"/>
    </i>
    <i>
      <x v="34"/>
    </i>
    <i>
      <x v="121"/>
    </i>
    <i t="grand">
      <x/>
    </i>
  </rowItems>
  <colItems count="1">
    <i/>
  </colItems>
  <dataFields count="1">
    <dataField name="Average of full_time_share" fld="12" subtotal="average"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4505DC-F2D2-4902-83D8-9BD968F91C9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_category">
  <location ref="AA4:AB178" firstHeaderRow="1" firstDataRow="1" firstDataCol="1" rowPageCount="1" colPageCount="1"/>
  <pivotFields count="25">
    <pivotField showAll="0"/>
    <pivotField axis="axisRow" showAll="0" sortType="descending">
      <items count="174">
        <item x="87"/>
        <item x="141"/>
        <item x="172"/>
        <item x="155"/>
        <item x="137"/>
        <item x="102"/>
        <item x="36"/>
        <item x="145"/>
        <item x="92"/>
        <item x="34"/>
        <item x="6"/>
        <item x="133"/>
        <item x="125"/>
        <item x="35"/>
        <item x="119"/>
        <item x="33"/>
        <item x="32"/>
        <item x="27"/>
        <item x="123"/>
        <item x="122"/>
        <item x="114"/>
        <item x="72"/>
        <item x="132"/>
        <item x="5"/>
        <item x="86"/>
        <item x="110"/>
        <item x="103"/>
        <item x="100"/>
        <item x="30"/>
        <item x="101"/>
        <item x="154"/>
        <item x="85"/>
        <item x="59"/>
        <item x="69"/>
        <item x="162"/>
        <item x="109"/>
        <item x="96"/>
        <item x="153"/>
        <item x="113"/>
        <item x="58"/>
        <item x="88"/>
        <item x="57"/>
        <item x="10"/>
        <item x="140"/>
        <item x="112"/>
        <item x="94"/>
        <item x="81"/>
        <item x="134"/>
        <item x="120"/>
        <item x="157"/>
        <item x="146"/>
        <item x="66"/>
        <item x="60"/>
        <item x="39"/>
        <item x="170"/>
        <item x="89"/>
        <item x="7"/>
        <item x="56"/>
        <item x="93"/>
        <item x="84"/>
        <item x="55"/>
        <item x="151"/>
        <item x="150"/>
        <item x="65"/>
        <item x="54"/>
        <item x="29"/>
        <item x="97"/>
        <item x="90"/>
        <item x="111"/>
        <item x="53"/>
        <item x="15"/>
        <item x="164"/>
        <item x="169"/>
        <item x="67"/>
        <item x="77"/>
        <item x="75"/>
        <item x="37"/>
        <item x="14"/>
        <item x="131"/>
        <item x="167"/>
        <item x="99"/>
        <item x="95"/>
        <item x="21"/>
        <item x="64"/>
        <item x="118"/>
        <item x="52"/>
        <item x="76"/>
        <item x="124"/>
        <item x="166"/>
        <item x="168"/>
        <item x="171"/>
        <item x="152"/>
        <item x="149"/>
        <item x="108"/>
        <item x="107"/>
        <item x="51"/>
        <item x="130"/>
        <item x="83"/>
        <item x="126"/>
        <item x="147"/>
        <item x="40"/>
        <item x="25"/>
        <item x="158"/>
        <item x="0"/>
        <item x="68"/>
        <item x="9"/>
        <item x="4"/>
        <item x="138"/>
        <item x="165"/>
        <item x="143"/>
        <item x="70"/>
        <item x="8"/>
        <item x="50"/>
        <item x="73"/>
        <item x="61"/>
        <item x="49"/>
        <item x="62"/>
        <item x="28"/>
        <item x="136"/>
        <item x="63"/>
        <item x="48"/>
        <item x="115"/>
        <item x="26"/>
        <item x="127"/>
        <item x="82"/>
        <item x="31"/>
        <item x="139"/>
        <item x="129"/>
        <item x="121"/>
        <item x="71"/>
        <item x="117"/>
        <item x="24"/>
        <item x="135"/>
        <item x="20"/>
        <item x="19"/>
        <item x="23"/>
        <item x="47"/>
        <item x="18"/>
        <item x="22"/>
        <item x="74"/>
        <item x="156"/>
        <item x="13"/>
        <item x="17"/>
        <item x="148"/>
        <item x="142"/>
        <item x="98"/>
        <item x="116"/>
        <item x="46"/>
        <item x="106"/>
        <item x="45"/>
        <item x="161"/>
        <item x="163"/>
        <item x="80"/>
        <item x="44"/>
        <item x="78"/>
        <item x="42"/>
        <item x="79"/>
        <item x="105"/>
        <item x="104"/>
        <item x="144"/>
        <item x="38"/>
        <item x="12"/>
        <item x="11"/>
        <item x="43"/>
        <item x="91"/>
        <item x="128"/>
        <item x="3"/>
        <item x="1"/>
        <item x="2"/>
        <item x="41"/>
        <item x="16"/>
        <item x="160"/>
        <item x="159"/>
        <item t="default"/>
      </items>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multipleItemSelectionAllowed="1"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multipleItemSelectionAllowe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axis="axisPage" dataField="1" multipleItemSelectionAllowed="1"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
  </rowFields>
  <rowItems count="1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t="grand">
      <x/>
    </i>
  </rowItems>
  <colItems count="1">
    <i/>
  </colItems>
  <pageFields count="1">
    <pageField fld="14" hier="-1"/>
  </pageFields>
  <dataFields count="1">
    <dataField name="Average of ShareWomen" fld="1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590004-00F7-47EB-AF3C-068A030EAA6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_category">
  <location ref="D20:E194" firstHeaderRow="1" firstDataRow="1" firstDataCol="1"/>
  <pivotFields count="25">
    <pivotField showAll="0"/>
    <pivotField axis="axisRow" showAll="0" sortType="ascending">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autoSortScope>
        <pivotArea dataOnly="0" outline="0" fieldPosition="0">
          <references count="1">
            <reference field="4294967294" count="1" selected="0">
              <x v="0"/>
            </reference>
          </references>
        </pivotArea>
      </autoSortScope>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dataFiel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
  </rowFields>
  <rowItems count="174">
    <i>
      <x v="132"/>
    </i>
    <i>
      <x v="47"/>
    </i>
    <i>
      <x v="165"/>
    </i>
    <i>
      <x v="85"/>
    </i>
    <i>
      <x v="42"/>
    </i>
    <i>
      <x v="55"/>
    </i>
    <i>
      <x v="171"/>
    </i>
    <i>
      <x v="98"/>
    </i>
    <i>
      <x v="167"/>
    </i>
    <i>
      <x v="41"/>
    </i>
    <i>
      <x v="166"/>
    </i>
    <i>
      <x v="160"/>
    </i>
    <i>
      <x v="33"/>
    </i>
    <i>
      <x v="51"/>
    </i>
    <i>
      <x v="62"/>
    </i>
    <i>
      <x v="155"/>
    </i>
    <i>
      <x v="96"/>
    </i>
    <i>
      <x v="29"/>
    </i>
    <i>
      <x v="46"/>
    </i>
    <i>
      <x v="163"/>
    </i>
    <i>
      <x v="12"/>
    </i>
    <i>
      <x v="107"/>
    </i>
    <i>
      <x v="71"/>
    </i>
    <i>
      <x v="127"/>
    </i>
    <i>
      <x v="7"/>
    </i>
    <i>
      <x v="145"/>
    </i>
    <i>
      <x v="13"/>
    </i>
    <i>
      <x v="129"/>
    </i>
    <i>
      <x v="92"/>
    </i>
    <i>
      <x v="126"/>
    </i>
    <i>
      <x v="65"/>
    </i>
    <i>
      <x v="26"/>
    </i>
    <i>
      <x v="157"/>
    </i>
    <i>
      <x v="143"/>
    </i>
    <i>
      <x v="159"/>
    </i>
    <i>
      <x v="152"/>
    </i>
    <i>
      <x v="122"/>
    </i>
    <i>
      <x v="91"/>
    </i>
    <i>
      <x v="123"/>
    </i>
    <i>
      <x v="139"/>
    </i>
    <i>
      <x v="124"/>
    </i>
    <i>
      <x v="156"/>
    </i>
    <i>
      <x v="11"/>
    </i>
    <i>
      <x v="6"/>
    </i>
    <i>
      <x v="28"/>
    </i>
    <i>
      <x v="86"/>
    </i>
    <i>
      <x v="63"/>
    </i>
    <i>
      <x v="158"/>
    </i>
    <i>
      <x v="161"/>
    </i>
    <i>
      <x v="32"/>
    </i>
    <i>
      <x v="48"/>
    </i>
    <i>
      <x v="99"/>
    </i>
    <i>
      <x v="102"/>
    </i>
    <i>
      <x v="54"/>
    </i>
    <i>
      <x v="151"/>
    </i>
    <i>
      <x v="68"/>
    </i>
    <i>
      <x v="75"/>
    </i>
    <i>
      <x v="144"/>
    </i>
    <i>
      <x v="83"/>
    </i>
    <i>
      <x v="45"/>
    </i>
    <i>
      <x v="136"/>
    </i>
    <i>
      <x v="97"/>
    </i>
    <i>
      <x v="44"/>
    </i>
    <i>
      <x v="43"/>
    </i>
    <i>
      <x v="2"/>
    </i>
    <i>
      <x v="20"/>
    </i>
    <i>
      <x v="30"/>
    </i>
    <i>
      <x v="170"/>
    </i>
    <i>
      <x v="31"/>
    </i>
    <i>
      <x v="69"/>
    </i>
    <i>
      <x v="119"/>
    </i>
    <i>
      <x v="81"/>
    </i>
    <i>
      <x v="82"/>
    </i>
    <i>
      <x v="73"/>
    </i>
    <i>
      <x v="59"/>
    </i>
    <i>
      <x v="74"/>
    </i>
    <i>
      <x v="95"/>
    </i>
    <i>
      <x v="148"/>
    </i>
    <i>
      <x v="80"/>
    </i>
    <i>
      <x v="149"/>
    </i>
    <i>
      <x v="18"/>
    </i>
    <i>
      <x v="125"/>
    </i>
    <i>
      <x v="61"/>
    </i>
    <i>
      <x v="117"/>
    </i>
    <i>
      <x v="130"/>
    </i>
    <i>
      <x v="116"/>
    </i>
    <i>
      <x v="27"/>
    </i>
    <i>
      <x v="118"/>
    </i>
    <i>
      <x v="16"/>
    </i>
    <i>
      <x v="76"/>
    </i>
    <i>
      <x v="84"/>
    </i>
    <i>
      <x v="5"/>
    </i>
    <i>
      <x v="93"/>
    </i>
    <i>
      <x v="172"/>
    </i>
    <i>
      <x v="110"/>
    </i>
    <i>
      <x v="34"/>
    </i>
    <i>
      <x v="94"/>
    </i>
    <i>
      <x v="137"/>
    </i>
    <i>
      <x v="37"/>
    </i>
    <i>
      <x v="101"/>
    </i>
    <i>
      <x v="153"/>
    </i>
    <i>
      <x v="128"/>
    </i>
    <i>
      <x v="79"/>
    </i>
    <i>
      <x v="67"/>
    </i>
    <i>
      <x v="50"/>
    </i>
    <i>
      <x v="22"/>
    </i>
    <i>
      <x v="150"/>
    </i>
    <i>
      <x v="24"/>
    </i>
    <i>
      <x v="109"/>
    </i>
    <i>
      <x v="15"/>
    </i>
    <i>
      <x v="38"/>
    </i>
    <i>
      <x v="111"/>
    </i>
    <i>
      <x v="70"/>
    </i>
    <i>
      <x v="154"/>
    </i>
    <i>
      <x v="141"/>
    </i>
    <i>
      <x v="113"/>
    </i>
    <i>
      <x v="146"/>
    </i>
    <i>
      <x v="169"/>
    </i>
    <i>
      <x v="88"/>
    </i>
    <i>
      <x v="134"/>
    </i>
    <i>
      <x v="135"/>
    </i>
    <i>
      <x v="66"/>
    </i>
    <i>
      <x v="17"/>
    </i>
    <i>
      <x v="4"/>
    </i>
    <i>
      <x v="58"/>
    </i>
    <i>
      <x v="121"/>
    </i>
    <i>
      <x v="10"/>
    </i>
    <i>
      <x v="162"/>
    </i>
    <i>
      <x v="114"/>
    </i>
    <i>
      <x v="35"/>
    </i>
    <i>
      <x/>
    </i>
    <i>
      <x v="21"/>
    </i>
    <i>
      <x v="57"/>
    </i>
    <i>
      <x v="78"/>
    </i>
    <i>
      <x v="64"/>
    </i>
    <i>
      <x v="138"/>
    </i>
    <i>
      <x v="19"/>
    </i>
    <i>
      <x v="40"/>
    </i>
    <i>
      <x v="105"/>
    </i>
    <i>
      <x v="53"/>
    </i>
    <i>
      <x v="168"/>
    </i>
    <i>
      <x v="90"/>
    </i>
    <i>
      <x v="49"/>
    </i>
    <i>
      <x v="147"/>
    </i>
    <i>
      <x v="60"/>
    </i>
    <i>
      <x v="164"/>
    </i>
    <i>
      <x v="89"/>
    </i>
    <i>
      <x v="120"/>
    </i>
    <i>
      <x v="8"/>
    </i>
    <i>
      <x v="100"/>
    </i>
    <i>
      <x v="1"/>
    </i>
    <i>
      <x v="56"/>
    </i>
    <i>
      <x v="72"/>
    </i>
    <i>
      <x v="87"/>
    </i>
    <i>
      <x v="104"/>
    </i>
    <i>
      <x v="25"/>
    </i>
    <i>
      <x v="39"/>
    </i>
    <i>
      <x v="9"/>
    </i>
    <i>
      <x v="103"/>
    </i>
    <i>
      <x v="108"/>
    </i>
    <i>
      <x v="3"/>
    </i>
    <i>
      <x v="14"/>
    </i>
    <i>
      <x v="36"/>
    </i>
    <i>
      <x v="77"/>
    </i>
    <i>
      <x v="23"/>
    </i>
    <i>
      <x v="52"/>
    </i>
    <i>
      <x v="115"/>
    </i>
    <i>
      <x v="106"/>
    </i>
    <i>
      <x v="133"/>
    </i>
    <i>
      <x v="112"/>
    </i>
    <i>
      <x v="131"/>
    </i>
    <i>
      <x v="142"/>
    </i>
    <i>
      <x v="140"/>
    </i>
    <i t="grand">
      <x/>
    </i>
  </rowItems>
  <colItems count="1">
    <i/>
  </colItems>
  <dataFields count="1">
    <dataField name="Average of Median" fld="8"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E2F17F0-7875-442C-B2D9-0B2DE28314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ajor_category">
  <location ref="G1:H18" firstHeaderRow="1" firstDataRow="1" firstDataCol="1"/>
  <pivotFields count="25">
    <pivotField showAll="0"/>
    <pivotField showAll="0">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pivotField>
    <pivotField axis="axisRow"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dataField="1"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Average of salary_premium" fld="20" subtotal="average"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2237DC7-FF3E-4832-93D7-CC5A61C8E98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_category">
  <location ref="M23:N197" firstHeaderRow="1" firstDataRow="1" firstDataCol="1"/>
  <pivotFields count="25">
    <pivotField showAll="0"/>
    <pivotField axis="axisRow" showAll="0" sortType="descending">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autoSortScope>
        <pivotArea dataOnly="0" outline="0" fieldPosition="0">
          <references count="1">
            <reference field="4294967294" count="1" selected="0">
              <x v="0"/>
            </reference>
          </references>
        </pivotArea>
      </autoSortScope>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multipleItemSelectionAllowed="1"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multipleItemSelectionAllowe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dataField="1"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
  </rowFields>
  <rowItems count="174">
    <i>
      <x v="81"/>
    </i>
    <i>
      <x v="172"/>
    </i>
    <i>
      <x v="16"/>
    </i>
    <i>
      <x v="18"/>
    </i>
    <i>
      <x v="24"/>
    </i>
    <i>
      <x v="148"/>
    </i>
    <i>
      <x v="27"/>
    </i>
    <i>
      <x v="141"/>
    </i>
    <i>
      <x v="126"/>
    </i>
    <i>
      <x v="1"/>
    </i>
    <i>
      <x v="79"/>
    </i>
    <i>
      <x v="150"/>
    </i>
    <i>
      <x v="56"/>
    </i>
    <i>
      <x v="137"/>
    </i>
    <i>
      <x v="57"/>
    </i>
    <i>
      <x v="49"/>
    </i>
    <i>
      <x v="170"/>
    </i>
    <i>
      <x v="138"/>
    </i>
    <i>
      <x v="82"/>
    </i>
    <i>
      <x v="128"/>
    </i>
    <i>
      <x v="80"/>
    </i>
    <i>
      <x v="147"/>
    </i>
    <i>
      <x v="151"/>
    </i>
    <i>
      <x v="154"/>
    </i>
    <i>
      <x v="94"/>
    </i>
    <i>
      <x v="64"/>
    </i>
    <i>
      <x v="72"/>
    </i>
    <i>
      <x v="38"/>
    </i>
    <i>
      <x v="43"/>
    </i>
    <i>
      <x v="11"/>
    </i>
    <i>
      <x v="113"/>
    </i>
    <i>
      <x v="70"/>
    </i>
    <i>
      <x v="21"/>
    </i>
    <i>
      <x v="110"/>
    </i>
    <i>
      <x v="26"/>
    </i>
    <i>
      <x v="8"/>
    </i>
    <i>
      <x/>
    </i>
    <i>
      <x v="6"/>
    </i>
    <i>
      <x v="75"/>
    </i>
    <i>
      <x v="87"/>
    </i>
    <i>
      <x v="3"/>
    </i>
    <i>
      <x v="158"/>
    </i>
    <i>
      <x v="15"/>
    </i>
    <i>
      <x v="37"/>
    </i>
    <i>
      <x v="139"/>
    </i>
    <i>
      <x v="51"/>
    </i>
    <i>
      <x v="105"/>
    </i>
    <i>
      <x v="168"/>
    </i>
    <i>
      <x v="34"/>
    </i>
    <i>
      <x v="29"/>
    </i>
    <i>
      <x v="124"/>
    </i>
    <i>
      <x v="20"/>
    </i>
    <i>
      <x v="146"/>
    </i>
    <i>
      <x v="97"/>
    </i>
    <i>
      <x v="101"/>
    </i>
    <i>
      <x v="92"/>
    </i>
    <i>
      <x v="118"/>
    </i>
    <i>
      <x v="19"/>
    </i>
    <i>
      <x v="120"/>
    </i>
    <i>
      <x v="135"/>
    </i>
    <i>
      <x v="7"/>
    </i>
    <i>
      <x v="91"/>
    </i>
    <i>
      <x v="13"/>
    </i>
    <i>
      <x v="67"/>
    </i>
    <i>
      <x v="74"/>
    </i>
    <i>
      <x v="143"/>
    </i>
    <i>
      <x v="125"/>
    </i>
    <i>
      <x v="32"/>
    </i>
    <i>
      <x v="69"/>
    </i>
    <i>
      <x v="132"/>
    </i>
    <i>
      <x v="152"/>
    </i>
    <i>
      <x v="25"/>
    </i>
    <i>
      <x v="108"/>
    </i>
    <i>
      <x v="73"/>
    </i>
    <i>
      <x v="76"/>
    </i>
    <i>
      <x v="77"/>
    </i>
    <i>
      <x v="78"/>
    </i>
    <i>
      <x v="86"/>
    </i>
    <i>
      <x v="130"/>
    </i>
    <i>
      <x v="164"/>
    </i>
    <i>
      <x v="149"/>
    </i>
    <i>
      <x v="95"/>
    </i>
    <i>
      <x v="59"/>
    </i>
    <i>
      <x v="100"/>
    </i>
    <i>
      <x v="68"/>
    </i>
    <i>
      <x v="109"/>
    </i>
    <i>
      <x v="153"/>
    </i>
    <i>
      <x v="53"/>
    </i>
    <i>
      <x v="4"/>
    </i>
    <i>
      <x v="22"/>
    </i>
    <i>
      <x v="33"/>
    </i>
    <i>
      <x v="36"/>
    </i>
    <i>
      <x v="134"/>
    </i>
    <i>
      <x v="52"/>
    </i>
    <i>
      <x v="99"/>
    </i>
    <i>
      <x v="111"/>
    </i>
    <i>
      <x v="157"/>
    </i>
    <i>
      <x v="44"/>
    </i>
    <i>
      <x v="62"/>
    </i>
    <i>
      <x v="166"/>
    </i>
    <i>
      <x v="12"/>
    </i>
    <i>
      <x v="45"/>
    </i>
    <i>
      <x v="55"/>
    </i>
    <i>
      <x v="163"/>
    </i>
    <i>
      <x v="136"/>
    </i>
    <i>
      <x v="39"/>
    </i>
    <i>
      <x v="121"/>
    </i>
    <i>
      <x v="93"/>
    </i>
    <i>
      <x v="84"/>
    </i>
    <i>
      <x v="161"/>
    </i>
    <i>
      <x v="145"/>
    </i>
    <i>
      <x v="107"/>
    </i>
    <i>
      <x v="123"/>
    </i>
    <i>
      <x v="35"/>
    </i>
    <i>
      <x v="83"/>
    </i>
    <i>
      <x v="104"/>
    </i>
    <i>
      <x v="144"/>
    </i>
    <i>
      <x v="17"/>
    </i>
    <i>
      <x v="96"/>
    </i>
    <i>
      <x v="89"/>
    </i>
    <i>
      <x v="155"/>
    </i>
    <i>
      <x v="156"/>
    </i>
    <i>
      <x v="90"/>
    </i>
    <i>
      <x v="71"/>
    </i>
    <i>
      <x v="103"/>
    </i>
    <i>
      <x v="129"/>
    </i>
    <i>
      <x v="46"/>
    </i>
    <i>
      <x v="48"/>
    </i>
    <i>
      <x v="47"/>
    </i>
    <i>
      <x v="159"/>
    </i>
    <i>
      <x v="61"/>
    </i>
    <i>
      <x v="171"/>
    </i>
    <i>
      <x v="160"/>
    </i>
    <i>
      <x v="31"/>
    </i>
    <i>
      <x v="165"/>
    </i>
    <i>
      <x v="98"/>
    </i>
    <i>
      <x v="65"/>
    </i>
    <i>
      <x v="28"/>
    </i>
    <i>
      <x v="23"/>
    </i>
    <i>
      <x v="5"/>
    </i>
    <i>
      <x v="54"/>
    </i>
    <i>
      <x v="88"/>
    </i>
    <i>
      <x v="85"/>
    </i>
    <i>
      <x v="127"/>
    </i>
    <i>
      <x v="119"/>
    </i>
    <i>
      <x v="14"/>
    </i>
    <i>
      <x v="117"/>
    </i>
    <i>
      <x v="42"/>
    </i>
    <i>
      <x v="114"/>
    </i>
    <i>
      <x v="133"/>
    </i>
    <i>
      <x v="40"/>
    </i>
    <i>
      <x v="60"/>
    </i>
    <i>
      <x v="66"/>
    </i>
    <i>
      <x v="58"/>
    </i>
    <i>
      <x v="122"/>
    </i>
    <i>
      <x v="2"/>
    </i>
    <i>
      <x v="167"/>
    </i>
    <i>
      <x v="10"/>
    </i>
    <i>
      <x v="169"/>
    </i>
    <i>
      <x v="50"/>
    </i>
    <i>
      <x v="63"/>
    </i>
    <i>
      <x v="102"/>
    </i>
    <i>
      <x v="106"/>
    </i>
    <i>
      <x v="41"/>
    </i>
    <i>
      <x v="30"/>
    </i>
    <i>
      <x v="115"/>
    </i>
    <i>
      <x v="142"/>
    </i>
    <i>
      <x v="131"/>
    </i>
    <i>
      <x v="112"/>
    </i>
    <i>
      <x v="162"/>
    </i>
    <i>
      <x v="116"/>
    </i>
    <i>
      <x v="9"/>
    </i>
    <i>
      <x v="140"/>
    </i>
    <i t="grand">
      <x/>
    </i>
  </rowItems>
  <colItems count="1">
    <i/>
  </colItems>
  <dataFields count="1">
    <dataField name="Average of salary_premium" fld="20"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A14970-938E-4DD5-8A69-27096493707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ajor_category">
  <location ref="G196:H255" firstHeaderRow="1" firstDataRow="1" firstDataCol="1"/>
  <pivotFields count="25">
    <pivotField showAll="0"/>
    <pivotField showAll="0">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dataField="1"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axis="axisRow"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8"/>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Items count="1">
    <i/>
  </colItems>
  <dataFields count="1">
    <dataField name="Average of Unemployment_rate" fld="7" subtotal="average" baseField="2"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E33B8A9-27CD-4E36-8683-92925BC2FC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ajor_category">
  <location ref="A1:B18" firstHeaderRow="1" firstDataRow="1" firstDataCol="1"/>
  <pivotFields count="25">
    <pivotField showAll="0"/>
    <pivotField showAll="0">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pivotField>
    <pivotField axis="axisRow"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dataFiel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Average of Median" fld="8" subtotal="average"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ADFDCAC-91FF-46CC-A6CD-CF1608AF6D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_category">
  <location ref="A20:B194" firstHeaderRow="1" firstDataRow="1" firstDataCol="1"/>
  <pivotFields count="25">
    <pivotField showAll="0"/>
    <pivotField axis="axisRow" showAll="0" sortType="descending">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autoSortScope>
        <pivotArea dataOnly="0" outline="0" fieldPosition="0">
          <references count="1">
            <reference field="4294967294" count="1" selected="0">
              <x v="0"/>
            </reference>
          </references>
        </pivotArea>
      </autoSortScope>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dataFiel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
  </rowFields>
  <rowItems count="174">
    <i>
      <x v="140"/>
    </i>
    <i>
      <x v="142"/>
    </i>
    <i>
      <x v="131"/>
    </i>
    <i>
      <x v="112"/>
    </i>
    <i>
      <x v="133"/>
    </i>
    <i>
      <x v="106"/>
    </i>
    <i>
      <x v="115"/>
    </i>
    <i>
      <x v="52"/>
    </i>
    <i>
      <x v="23"/>
    </i>
    <i>
      <x v="77"/>
    </i>
    <i>
      <x v="108"/>
    </i>
    <i>
      <x v="14"/>
    </i>
    <i>
      <x v="36"/>
    </i>
    <i>
      <x v="3"/>
    </i>
    <i>
      <x v="9"/>
    </i>
    <i>
      <x v="39"/>
    </i>
    <i>
      <x v="25"/>
    </i>
    <i>
      <x v="103"/>
    </i>
    <i>
      <x v="104"/>
    </i>
    <i>
      <x v="72"/>
    </i>
    <i>
      <x v="87"/>
    </i>
    <i>
      <x v="56"/>
    </i>
    <i>
      <x v="100"/>
    </i>
    <i>
      <x v="1"/>
    </i>
    <i>
      <x v="8"/>
    </i>
    <i>
      <x v="60"/>
    </i>
    <i>
      <x v="147"/>
    </i>
    <i>
      <x v="120"/>
    </i>
    <i>
      <x v="164"/>
    </i>
    <i>
      <x v="89"/>
    </i>
    <i>
      <x v="49"/>
    </i>
    <i>
      <x v="90"/>
    </i>
    <i>
      <x v="53"/>
    </i>
    <i>
      <x v="168"/>
    </i>
    <i>
      <x v="105"/>
    </i>
    <i>
      <x v="138"/>
    </i>
    <i>
      <x v="64"/>
    </i>
    <i>
      <x v="35"/>
    </i>
    <i>
      <x v="19"/>
    </i>
    <i>
      <x v="21"/>
    </i>
    <i>
      <x v="57"/>
    </i>
    <i>
      <x v="78"/>
    </i>
    <i>
      <x/>
    </i>
    <i>
      <x v="40"/>
    </i>
    <i>
      <x v="114"/>
    </i>
    <i>
      <x v="4"/>
    </i>
    <i>
      <x v="162"/>
    </i>
    <i>
      <x v="121"/>
    </i>
    <i>
      <x v="10"/>
    </i>
    <i>
      <x v="58"/>
    </i>
    <i>
      <x v="66"/>
    </i>
    <i>
      <x v="135"/>
    </i>
    <i>
      <x v="17"/>
    </i>
    <i>
      <x v="134"/>
    </i>
    <i>
      <x v="88"/>
    </i>
    <i>
      <x v="169"/>
    </i>
    <i>
      <x v="113"/>
    </i>
    <i>
      <x v="38"/>
    </i>
    <i>
      <x v="70"/>
    </i>
    <i>
      <x v="146"/>
    </i>
    <i>
      <x v="109"/>
    </i>
    <i>
      <x v="154"/>
    </i>
    <i>
      <x v="111"/>
    </i>
    <i>
      <x v="15"/>
    </i>
    <i>
      <x v="141"/>
    </i>
    <i>
      <x v="24"/>
    </i>
    <i>
      <x v="67"/>
    </i>
    <i>
      <x v="50"/>
    </i>
    <i>
      <x v="150"/>
    </i>
    <i>
      <x v="22"/>
    </i>
    <i>
      <x v="79"/>
    </i>
    <i>
      <x v="101"/>
    </i>
    <i>
      <x v="153"/>
    </i>
    <i>
      <x v="128"/>
    </i>
    <i>
      <x v="110"/>
    </i>
    <i>
      <x v="94"/>
    </i>
    <i>
      <x v="37"/>
    </i>
    <i>
      <x v="34"/>
    </i>
    <i>
      <x v="172"/>
    </i>
    <i>
      <x v="137"/>
    </i>
    <i>
      <x v="76"/>
    </i>
    <i>
      <x v="5"/>
    </i>
    <i>
      <x v="93"/>
    </i>
    <i>
      <x v="84"/>
    </i>
    <i>
      <x v="118"/>
    </i>
    <i>
      <x v="16"/>
    </i>
    <i>
      <x v="27"/>
    </i>
    <i>
      <x v="116"/>
    </i>
    <i>
      <x v="61"/>
    </i>
    <i>
      <x v="125"/>
    </i>
    <i>
      <x v="117"/>
    </i>
    <i>
      <x v="130"/>
    </i>
    <i>
      <x v="18"/>
    </i>
    <i>
      <x v="43"/>
    </i>
    <i>
      <x v="95"/>
    </i>
    <i>
      <x v="148"/>
    </i>
    <i>
      <x v="69"/>
    </i>
    <i>
      <x v="97"/>
    </i>
    <i>
      <x v="73"/>
    </i>
    <i>
      <x v="44"/>
    </i>
    <i>
      <x v="119"/>
    </i>
    <i>
      <x v="149"/>
    </i>
    <i>
      <x v="74"/>
    </i>
    <i>
      <x v="30"/>
    </i>
    <i>
      <x v="59"/>
    </i>
    <i>
      <x v="20"/>
    </i>
    <i>
      <x v="31"/>
    </i>
    <i>
      <x v="2"/>
    </i>
    <i>
      <x v="82"/>
    </i>
    <i>
      <x v="170"/>
    </i>
    <i>
      <x v="80"/>
    </i>
    <i>
      <x v="81"/>
    </i>
    <i>
      <x v="136"/>
    </i>
    <i>
      <x v="83"/>
    </i>
    <i>
      <x v="45"/>
    </i>
    <i>
      <x v="144"/>
    </i>
    <i>
      <x v="54"/>
    </i>
    <i>
      <x v="102"/>
    </i>
    <i>
      <x v="99"/>
    </i>
    <i>
      <x v="151"/>
    </i>
    <i>
      <x v="75"/>
    </i>
    <i>
      <x v="68"/>
    </i>
    <i>
      <x v="48"/>
    </i>
    <i>
      <x v="158"/>
    </i>
    <i>
      <x v="161"/>
    </i>
    <i>
      <x v="63"/>
    </i>
    <i>
      <x v="32"/>
    </i>
    <i>
      <x v="86"/>
    </i>
    <i>
      <x v="28"/>
    </i>
    <i>
      <x v="6"/>
    </i>
    <i>
      <x v="156"/>
    </i>
    <i>
      <x v="11"/>
    </i>
    <i>
      <x v="26"/>
    </i>
    <i>
      <x v="91"/>
    </i>
    <i>
      <x v="65"/>
    </i>
    <i>
      <x v="139"/>
    </i>
    <i>
      <x v="152"/>
    </i>
    <i>
      <x v="159"/>
    </i>
    <i>
      <x v="157"/>
    </i>
    <i>
      <x v="122"/>
    </i>
    <i>
      <x v="129"/>
    </i>
    <i>
      <x v="123"/>
    </i>
    <i>
      <x v="124"/>
    </i>
    <i>
      <x v="126"/>
    </i>
    <i>
      <x v="143"/>
    </i>
    <i>
      <x v="92"/>
    </i>
    <i>
      <x v="13"/>
    </i>
    <i>
      <x v="145"/>
    </i>
    <i>
      <x v="7"/>
    </i>
    <i>
      <x v="127"/>
    </i>
    <i>
      <x v="71"/>
    </i>
    <i>
      <x v="107"/>
    </i>
    <i>
      <x v="12"/>
    </i>
    <i>
      <x v="46"/>
    </i>
    <i>
      <x v="163"/>
    </i>
    <i>
      <x v="29"/>
    </i>
    <i>
      <x v="96"/>
    </i>
    <i>
      <x v="155"/>
    </i>
    <i>
      <x v="62"/>
    </i>
    <i>
      <x v="51"/>
    </i>
    <i>
      <x v="166"/>
    </i>
    <i>
      <x v="167"/>
    </i>
    <i>
      <x v="160"/>
    </i>
    <i>
      <x v="98"/>
    </i>
    <i>
      <x v="55"/>
    </i>
    <i>
      <x v="171"/>
    </i>
    <i>
      <x v="41"/>
    </i>
    <i>
      <x v="33"/>
    </i>
    <i>
      <x v="42"/>
    </i>
    <i>
      <x v="85"/>
    </i>
    <i>
      <x v="165"/>
    </i>
    <i>
      <x v="47"/>
    </i>
    <i>
      <x v="132"/>
    </i>
    <i t="grand">
      <x/>
    </i>
  </rowItems>
  <colItems count="1">
    <i/>
  </colItems>
  <dataFields count="1">
    <dataField name="Average of Median" fld="8"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8AAECFA-471D-462E-8829-E7C2F64C315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_category">
  <location ref="M4:O21" firstHeaderRow="0" firstDataRow="1" firstDataCol="1"/>
  <pivotFields count="25">
    <pivotField showAll="0"/>
    <pivotField showAll="0">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pivotField>
    <pivotField axis="axisRow"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dataField="1" multipleItemSelectionAllowed="1"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dataField="1" multipleItemSelectionAllowe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Average of Unemployment_rate" fld="7" subtotal="average" baseField="2" baseItem="0"/>
    <dataField name="Average of Median" fld="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ACC6F2B-B7EE-4A19-81F9-AF6966774CF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ajor_category">
  <location ref="D196:E211" firstHeaderRow="1" firstDataRow="1" firstDataCol="1"/>
  <pivotFields count="25">
    <pivotField showAll="0"/>
    <pivotField axis="axisRow" showAll="0" measureFilter="1">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dataFiel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
  </rowFields>
  <rowItems count="15">
    <i>
      <x v="33"/>
    </i>
    <i>
      <x v="41"/>
    </i>
    <i>
      <x v="42"/>
    </i>
    <i>
      <x v="47"/>
    </i>
    <i>
      <x v="51"/>
    </i>
    <i>
      <x v="55"/>
    </i>
    <i>
      <x v="85"/>
    </i>
    <i>
      <x v="98"/>
    </i>
    <i>
      <x v="132"/>
    </i>
    <i>
      <x v="160"/>
    </i>
    <i>
      <x v="165"/>
    </i>
    <i>
      <x v="166"/>
    </i>
    <i>
      <x v="167"/>
    </i>
    <i>
      <x v="171"/>
    </i>
    <i t="grand">
      <x/>
    </i>
  </rowItems>
  <colItems count="1">
    <i/>
  </colItems>
  <dataFields count="1">
    <dataField name="Average of Median" fld="8" subtotal="average" baseField="2"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92A87D6-F28F-4141-9B54-8A0AC55285E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jor_category">
  <location ref="Q4:R178" firstHeaderRow="1" firstDataRow="1" firstDataCol="1"/>
  <pivotFields count="25">
    <pivotField showAll="0"/>
    <pivotField axis="axisRow" showAll="0" sortType="ascending">
      <items count="174">
        <item x="159"/>
        <item x="160"/>
        <item x="16"/>
        <item x="41"/>
        <item x="2"/>
        <item x="1"/>
        <item x="3"/>
        <item x="128"/>
        <item x="91"/>
        <item x="43"/>
        <item x="11"/>
        <item x="12"/>
        <item x="38"/>
        <item x="144"/>
        <item x="104"/>
        <item x="105"/>
        <item x="79"/>
        <item x="42"/>
        <item x="78"/>
        <item x="44"/>
        <item x="80"/>
        <item x="163"/>
        <item x="161"/>
        <item x="45"/>
        <item x="106"/>
        <item x="46"/>
        <item x="116"/>
        <item x="98"/>
        <item x="142"/>
        <item x="148"/>
        <item x="17"/>
        <item x="13"/>
        <item x="156"/>
        <item x="74"/>
        <item x="22"/>
        <item x="18"/>
        <item x="47"/>
        <item x="23"/>
        <item x="19"/>
        <item x="20"/>
        <item x="135"/>
        <item x="24"/>
        <item x="117"/>
        <item x="71"/>
        <item x="121"/>
        <item x="129"/>
        <item x="139"/>
        <item x="31"/>
        <item x="82"/>
        <item x="127"/>
        <item x="26"/>
        <item x="115"/>
        <item x="48"/>
        <item x="63"/>
        <item x="136"/>
        <item x="28"/>
        <item x="62"/>
        <item x="49"/>
        <item x="61"/>
        <item x="73"/>
        <item x="50"/>
        <item x="8"/>
        <item x="70"/>
        <item x="143"/>
        <item x="165"/>
        <item x="138"/>
        <item x="4"/>
        <item x="9"/>
        <item x="68"/>
        <item x="0"/>
        <item x="158"/>
        <item x="25"/>
        <item x="40"/>
        <item x="147"/>
        <item x="126"/>
        <item x="83"/>
        <item x="130"/>
        <item x="51"/>
        <item x="107"/>
        <item x="108"/>
        <item x="149"/>
        <item x="152"/>
        <item x="171"/>
        <item x="168"/>
        <item x="166"/>
        <item x="124"/>
        <item x="76"/>
        <item x="52"/>
        <item x="118"/>
        <item x="64"/>
        <item x="21"/>
        <item x="95"/>
        <item x="99"/>
        <item x="167"/>
        <item x="131"/>
        <item x="14"/>
        <item x="37"/>
        <item x="75"/>
        <item x="77"/>
        <item x="67"/>
        <item x="169"/>
        <item x="164"/>
        <item x="15"/>
        <item x="53"/>
        <item x="111"/>
        <item x="90"/>
        <item x="97"/>
        <item x="29"/>
        <item x="54"/>
        <item x="65"/>
        <item x="150"/>
        <item x="151"/>
        <item x="55"/>
        <item x="84"/>
        <item x="93"/>
        <item x="56"/>
        <item x="7"/>
        <item x="89"/>
        <item x="170"/>
        <item x="39"/>
        <item x="60"/>
        <item x="66"/>
        <item x="146"/>
        <item x="157"/>
        <item x="120"/>
        <item x="134"/>
        <item x="81"/>
        <item x="94"/>
        <item x="112"/>
        <item x="140"/>
        <item x="10"/>
        <item x="57"/>
        <item x="88"/>
        <item x="58"/>
        <item x="113"/>
        <item x="153"/>
        <item x="96"/>
        <item x="109"/>
        <item x="162"/>
        <item x="69"/>
        <item x="59"/>
        <item x="85"/>
        <item x="154"/>
        <item x="101"/>
        <item x="30"/>
        <item x="100"/>
        <item x="103"/>
        <item x="110"/>
        <item x="86"/>
        <item x="5"/>
        <item x="132"/>
        <item x="72"/>
        <item x="114"/>
        <item x="122"/>
        <item x="123"/>
        <item x="27"/>
        <item x="32"/>
        <item x="33"/>
        <item x="119"/>
        <item x="35"/>
        <item x="125"/>
        <item x="133"/>
        <item x="6"/>
        <item x="34"/>
        <item x="92"/>
        <item x="145"/>
        <item x="36"/>
        <item x="102"/>
        <item x="137"/>
        <item x="155"/>
        <item x="172"/>
        <item x="141"/>
        <item x="87"/>
        <item t="default"/>
      </items>
      <autoSortScope>
        <pivotArea dataOnly="0" outline="0" fieldPosition="0">
          <references count="1">
            <reference field="4294967294" count="1" selected="0">
              <x v="0"/>
            </reference>
          </references>
        </pivotArea>
      </autoSortScope>
    </pivotField>
    <pivotField showAll="0">
      <items count="17">
        <item x="0"/>
        <item x="14"/>
        <item x="1"/>
        <item x="15"/>
        <item x="4"/>
        <item x="5"/>
        <item x="7"/>
        <item x="2"/>
        <item x="10"/>
        <item x="3"/>
        <item x="6"/>
        <item x="9"/>
        <item x="8"/>
        <item x="12"/>
        <item x="13"/>
        <item x="11"/>
        <item t="default"/>
      </items>
    </pivotField>
    <pivotField showAll="0"/>
    <pivotField showAll="0"/>
    <pivotField showAll="0"/>
    <pivotField showAll="0"/>
    <pivotField multipleItemSelectionAllowed="1" showAll="0">
      <items count="173">
        <item x="26"/>
        <item x="84"/>
        <item x="110"/>
        <item x="96"/>
        <item x="0"/>
        <item x="154"/>
        <item x="152"/>
        <item x="1"/>
        <item x="2"/>
        <item x="149"/>
        <item x="5"/>
        <item x="29"/>
        <item x="36"/>
        <item x="79"/>
        <item x="153"/>
        <item x="150"/>
        <item x="104"/>
        <item x="28"/>
        <item x="102"/>
        <item x="39"/>
        <item x="7"/>
        <item x="56"/>
        <item x="38"/>
        <item x="82"/>
        <item x="41"/>
        <item x="32"/>
        <item x="58"/>
        <item x="101"/>
        <item x="9"/>
        <item x="3"/>
        <item x="107"/>
        <item x="161"/>
        <item x="64"/>
        <item x="33"/>
        <item x="49"/>
        <item x="53"/>
        <item x="25"/>
        <item x="168"/>
        <item x="54"/>
        <item x="111"/>
        <item x="50"/>
        <item x="35"/>
        <item x="45"/>
        <item x="30"/>
        <item x="147"/>
        <item x="60"/>
        <item x="99"/>
        <item x="55"/>
        <item x="34"/>
        <item x="136"/>
        <item x="88"/>
        <item x="40"/>
        <item x="37"/>
        <item x="86"/>
        <item x="164"/>
        <item x="97"/>
        <item x="81"/>
        <item x="4"/>
        <item x="31"/>
        <item x="20"/>
        <item x="63"/>
        <item x="48"/>
        <item x="6"/>
        <item x="83"/>
        <item x="134"/>
        <item x="85"/>
        <item x="8"/>
        <item x="157"/>
        <item x="167"/>
        <item x="51"/>
        <item x="18"/>
        <item x="135"/>
        <item x="109"/>
        <item x="169"/>
        <item x="21"/>
        <item x="89"/>
        <item x="46"/>
        <item x="158"/>
        <item x="156"/>
        <item x="108"/>
        <item x="120"/>
        <item x="10"/>
        <item x="133"/>
        <item x="61"/>
        <item x="146"/>
        <item x="139"/>
        <item x="105"/>
        <item x="47"/>
        <item x="24"/>
        <item x="163"/>
        <item x="90"/>
        <item x="69"/>
        <item x="159"/>
        <item x="148"/>
        <item x="91"/>
        <item x="62"/>
        <item x="23"/>
        <item x="67"/>
        <item x="59"/>
        <item x="160"/>
        <item x="42"/>
        <item x="77"/>
        <item x="124"/>
        <item x="52"/>
        <item x="65"/>
        <item x="80"/>
        <item x="165"/>
        <item x="126"/>
        <item x="162"/>
        <item x="14"/>
        <item x="95"/>
        <item x="143"/>
        <item x="13"/>
        <item x="128"/>
        <item x="106"/>
        <item x="98"/>
        <item x="132"/>
        <item x="170"/>
        <item x="70"/>
        <item x="155"/>
        <item x="57"/>
        <item x="16"/>
        <item x="74"/>
        <item x="12"/>
        <item x="116"/>
        <item x="72"/>
        <item x="87"/>
        <item x="129"/>
        <item x="43"/>
        <item x="131"/>
        <item x="121"/>
        <item x="113"/>
        <item x="71"/>
        <item x="112"/>
        <item x="151"/>
        <item x="130"/>
        <item x="125"/>
        <item x="166"/>
        <item x="78"/>
        <item x="137"/>
        <item x="68"/>
        <item x="123"/>
        <item x="171"/>
        <item x="73"/>
        <item x="141"/>
        <item x="94"/>
        <item x="100"/>
        <item x="22"/>
        <item x="114"/>
        <item x="93"/>
        <item x="75"/>
        <item x="127"/>
        <item x="44"/>
        <item x="122"/>
        <item x="138"/>
        <item x="66"/>
        <item x="119"/>
        <item x="15"/>
        <item x="117"/>
        <item x="144"/>
        <item x="17"/>
        <item x="142"/>
        <item x="11"/>
        <item x="103"/>
        <item x="118"/>
        <item x="19"/>
        <item x="140"/>
        <item x="76"/>
        <item x="27"/>
        <item x="92"/>
        <item x="115"/>
        <item x="145"/>
        <item t="default"/>
      </items>
    </pivotField>
    <pivotField multipleItemSelectionAllowed="1" showAll="0">
      <items count="59">
        <item x="39"/>
        <item x="17"/>
        <item x="54"/>
        <item x="49"/>
        <item x="47"/>
        <item x="13"/>
        <item x="34"/>
        <item x="15"/>
        <item x="19"/>
        <item x="20"/>
        <item x="14"/>
        <item x="43"/>
        <item x="53"/>
        <item x="18"/>
        <item x="3"/>
        <item x="52"/>
        <item x="35"/>
        <item x="48"/>
        <item x="38"/>
        <item x="7"/>
        <item x="16"/>
        <item x="51"/>
        <item x="42"/>
        <item x="0"/>
        <item x="36"/>
        <item x="5"/>
        <item x="37"/>
        <item x="1"/>
        <item x="12"/>
        <item x="46"/>
        <item x="45"/>
        <item x="6"/>
        <item x="44"/>
        <item x="9"/>
        <item x="56"/>
        <item x="4"/>
        <item x="2"/>
        <item x="41"/>
        <item x="8"/>
        <item x="40"/>
        <item x="33"/>
        <item x="11"/>
        <item x="50"/>
        <item x="25"/>
        <item x="57"/>
        <item x="32"/>
        <item x="21"/>
        <item x="10"/>
        <item x="22"/>
        <item x="26"/>
        <item x="23"/>
        <item x="24"/>
        <item x="28"/>
        <item x="30"/>
        <item x="27"/>
        <item x="29"/>
        <item x="55"/>
        <item x="31"/>
        <item t="default"/>
      </items>
    </pivotField>
    <pivotField showAll="0"/>
    <pivotField showAll="0"/>
    <pivotField dataField="1" showAll="0">
      <items count="174">
        <item x="93"/>
        <item x="77"/>
        <item x="55"/>
        <item x="39"/>
        <item x="28"/>
        <item x="33"/>
        <item x="62"/>
        <item x="152"/>
        <item x="25"/>
        <item x="69"/>
        <item x="70"/>
        <item x="67"/>
        <item x="37"/>
        <item x="35"/>
        <item x="27"/>
        <item x="115"/>
        <item x="126"/>
        <item x="119"/>
        <item x="32"/>
        <item x="106"/>
        <item x="87"/>
        <item x="73"/>
        <item x="76"/>
        <item x="90"/>
        <item x="68"/>
        <item x="80"/>
        <item x="88"/>
        <item x="51"/>
        <item x="148"/>
        <item x="110"/>
        <item x="84"/>
        <item x="118"/>
        <item x="103"/>
        <item x="57"/>
        <item x="36"/>
        <item x="38"/>
        <item x="172"/>
        <item x="116"/>
        <item x="171"/>
        <item x="75"/>
        <item x="101"/>
        <item x="144"/>
        <item x="138"/>
        <item x="157"/>
        <item x="96"/>
        <item x="133"/>
        <item x="41"/>
        <item x="53"/>
        <item x="29"/>
        <item x="30"/>
        <item x="154"/>
        <item x="56"/>
        <item x="122"/>
        <item x="85"/>
        <item x="9"/>
        <item x="78"/>
        <item x="140"/>
        <item x="79"/>
        <item x="99"/>
        <item x="43"/>
        <item x="45"/>
        <item x="120"/>
        <item x="107"/>
        <item x="44"/>
        <item x="0"/>
        <item x="125"/>
        <item x="127"/>
        <item x="102"/>
        <item x="114"/>
        <item x="4"/>
        <item x="59"/>
        <item x="86"/>
        <item x="40"/>
        <item x="128"/>
        <item x="81"/>
        <item x="112"/>
        <item x="31"/>
        <item x="132"/>
        <item x="34"/>
        <item x="104"/>
        <item x="49"/>
        <item x="130"/>
        <item x="145"/>
        <item x="54"/>
        <item x="48"/>
        <item x="12"/>
        <item x="131"/>
        <item x="52"/>
        <item x="46"/>
        <item x="109"/>
        <item x="72"/>
        <item x="11"/>
        <item x="158"/>
        <item x="151"/>
        <item x="42"/>
        <item x="117"/>
        <item x="108"/>
        <item x="58"/>
        <item x="141"/>
        <item x="83"/>
        <item x="7"/>
        <item x="6"/>
        <item x="147"/>
        <item x="153"/>
        <item x="156"/>
        <item x="124"/>
        <item x="159"/>
        <item x="14"/>
        <item x="142"/>
        <item x="161"/>
        <item x="170"/>
        <item x="123"/>
        <item x="146"/>
        <item x="50"/>
        <item x="92"/>
        <item x="74"/>
        <item x="89"/>
        <item x="95"/>
        <item x="166"/>
        <item x="163"/>
        <item x="60"/>
        <item x="26"/>
        <item x="167"/>
        <item x="139"/>
        <item x="134"/>
        <item x="2"/>
        <item x="19"/>
        <item x="63"/>
        <item x="71"/>
        <item x="137"/>
        <item x="3"/>
        <item x="113"/>
        <item x="149"/>
        <item x="24"/>
        <item x="16"/>
        <item x="155"/>
        <item x="94"/>
        <item x="91"/>
        <item x="10"/>
        <item x="129"/>
        <item x="5"/>
        <item x="64"/>
        <item x="150"/>
        <item x="17"/>
        <item x="164"/>
        <item x="13"/>
        <item x="105"/>
        <item x="98"/>
        <item x="136"/>
        <item x="160"/>
        <item x="61"/>
        <item x="143"/>
        <item x="1"/>
        <item x="15"/>
        <item x="82"/>
        <item x="121"/>
        <item x="168"/>
        <item x="111"/>
        <item x="97"/>
        <item x="100"/>
        <item x="165"/>
        <item x="22"/>
        <item x="65"/>
        <item x="8"/>
        <item x="66"/>
        <item x="162"/>
        <item x="47"/>
        <item x="20"/>
        <item x="23"/>
        <item x="21"/>
        <item x="135"/>
        <item x="169"/>
        <item x="18"/>
        <item t="default"/>
      </items>
    </pivotField>
    <pivotField showAll="0">
      <items count="174">
        <item x="150"/>
        <item x="148"/>
        <item x="141"/>
        <item x="146"/>
        <item x="140"/>
        <item x="139"/>
        <item x="88"/>
        <item x="37"/>
        <item x="77"/>
        <item x="38"/>
        <item x="28"/>
        <item x="29"/>
        <item x="31"/>
        <item x="145"/>
        <item x="144"/>
        <item x="95"/>
        <item x="70"/>
        <item x="96"/>
        <item x="116"/>
        <item x="155"/>
        <item x="36"/>
        <item x="86"/>
        <item x="143"/>
        <item x="128"/>
        <item x="68"/>
        <item x="76"/>
        <item x="35"/>
        <item x="120"/>
        <item x="98"/>
        <item x="115"/>
        <item x="74"/>
        <item x="81"/>
        <item x="34"/>
        <item x="138"/>
        <item x="69"/>
        <item x="67"/>
        <item x="12"/>
        <item x="157"/>
        <item x="156"/>
        <item x="117"/>
        <item x="73"/>
        <item x="80"/>
        <item x="32"/>
        <item x="33"/>
        <item x="147"/>
        <item x="101"/>
        <item x="172"/>
        <item x="152"/>
        <item x="114"/>
        <item x="82"/>
        <item x="25"/>
        <item x="142"/>
        <item x="30"/>
        <item x="79"/>
        <item x="126"/>
        <item x="100"/>
        <item x="44"/>
        <item x="153"/>
        <item x="99"/>
        <item x="154"/>
        <item x="104"/>
        <item x="39"/>
        <item x="78"/>
        <item x="118"/>
        <item x="125"/>
        <item x="94"/>
        <item x="124"/>
        <item x="87"/>
        <item x="27"/>
        <item x="133"/>
        <item x="75"/>
        <item x="123"/>
        <item x="15"/>
        <item x="4"/>
        <item x="83"/>
        <item x="102"/>
        <item x="171"/>
        <item x="89"/>
        <item x="85"/>
        <item x="131"/>
        <item x="8"/>
        <item x="90"/>
        <item x="84"/>
        <item x="14"/>
        <item x="168"/>
        <item x="17"/>
        <item x="11"/>
        <item x="110"/>
        <item x="13"/>
        <item x="130"/>
        <item x="72"/>
        <item x="16"/>
        <item x="113"/>
        <item x="119"/>
        <item x="151"/>
        <item x="42"/>
        <item x="10"/>
        <item x="134"/>
        <item x="167"/>
        <item x="111"/>
        <item x="92"/>
        <item x="24"/>
        <item x="106"/>
        <item x="112"/>
        <item x="132"/>
        <item x="107"/>
        <item x="55"/>
        <item x="149"/>
        <item x="164"/>
        <item x="26"/>
        <item x="7"/>
        <item x="170"/>
        <item x="3"/>
        <item x="91"/>
        <item x="127"/>
        <item x="53"/>
        <item x="105"/>
        <item x="5"/>
        <item x="62"/>
        <item x="51"/>
        <item x="166"/>
        <item x="43"/>
        <item x="23"/>
        <item x="108"/>
        <item x="129"/>
        <item x="159"/>
        <item x="6"/>
        <item x="0"/>
        <item x="19"/>
        <item x="9"/>
        <item x="49"/>
        <item x="50"/>
        <item x="161"/>
        <item x="158"/>
        <item x="122"/>
        <item x="109"/>
        <item x="136"/>
        <item x="45"/>
        <item x="59"/>
        <item x="135"/>
        <item x="1"/>
        <item x="163"/>
        <item x="165"/>
        <item x="46"/>
        <item x="52"/>
        <item x="121"/>
        <item x="103"/>
        <item x="71"/>
        <item x="137"/>
        <item x="60"/>
        <item x="61"/>
        <item x="20"/>
        <item x="41"/>
        <item x="54"/>
        <item x="97"/>
        <item x="48"/>
        <item x="47"/>
        <item x="57"/>
        <item x="56"/>
        <item x="2"/>
        <item x="21"/>
        <item x="162"/>
        <item x="40"/>
        <item x="66"/>
        <item x="22"/>
        <item x="63"/>
        <item x="18"/>
        <item x="64"/>
        <item x="160"/>
        <item x="169"/>
        <item x="65"/>
        <item x="58"/>
        <item x="93"/>
        <item t="default"/>
      </items>
    </pivotField>
    <pivotField showAll="0">
      <items count="79">
        <item x="21"/>
        <item x="25"/>
        <item x="22"/>
        <item x="27"/>
        <item x="28"/>
        <item x="58"/>
        <item x="29"/>
        <item x="52"/>
        <item x="23"/>
        <item x="19"/>
        <item x="63"/>
        <item x="48"/>
        <item x="26"/>
        <item x="71"/>
        <item x="24"/>
        <item x="70"/>
        <item x="72"/>
        <item x="18"/>
        <item x="62"/>
        <item x="20"/>
        <item x="59"/>
        <item x="30"/>
        <item x="47"/>
        <item x="66"/>
        <item x="49"/>
        <item x="51"/>
        <item x="7"/>
        <item x="73"/>
        <item x="9"/>
        <item x="13"/>
        <item x="11"/>
        <item x="55"/>
        <item x="8"/>
        <item x="68"/>
        <item x="5"/>
        <item x="15"/>
        <item x="14"/>
        <item x="77"/>
        <item x="3"/>
        <item x="50"/>
        <item x="54"/>
        <item x="1"/>
        <item x="45"/>
        <item x="12"/>
        <item x="0"/>
        <item x="76"/>
        <item x="36"/>
        <item x="46"/>
        <item x="6"/>
        <item x="17"/>
        <item x="53"/>
        <item x="31"/>
        <item x="57"/>
        <item x="33"/>
        <item x="65"/>
        <item x="4"/>
        <item x="32"/>
        <item x="43"/>
        <item x="10"/>
        <item x="16"/>
        <item x="37"/>
        <item x="69"/>
        <item x="34"/>
        <item x="44"/>
        <item x="74"/>
        <item x="2"/>
        <item x="56"/>
        <item x="35"/>
        <item x="61"/>
        <item x="75"/>
        <item x="41"/>
        <item x="40"/>
        <item x="64"/>
        <item x="67"/>
        <item x="38"/>
        <item x="39"/>
        <item x="60"/>
        <item x="42"/>
        <item t="default"/>
      </items>
    </pivotField>
    <pivotField showAll="0">
      <items count="174">
        <item x="66"/>
        <item x="81"/>
        <item x="61"/>
        <item x="56"/>
        <item x="57"/>
        <item x="44"/>
        <item x="59"/>
        <item x="105"/>
        <item x="121"/>
        <item x="54"/>
        <item x="58"/>
        <item x="55"/>
        <item x="62"/>
        <item x="150"/>
        <item x="22"/>
        <item x="49"/>
        <item x="60"/>
        <item x="41"/>
        <item x="47"/>
        <item x="170"/>
        <item x="4"/>
        <item x="46"/>
        <item x="136"/>
        <item x="71"/>
        <item x="90"/>
        <item x="163"/>
        <item x="123"/>
        <item x="40"/>
        <item x="159"/>
        <item x="19"/>
        <item x="169"/>
        <item x="92"/>
        <item x="167"/>
        <item x="53"/>
        <item x="23"/>
        <item x="13"/>
        <item x="111"/>
        <item x="42"/>
        <item x="137"/>
        <item x="11"/>
        <item x="162"/>
        <item x="51"/>
        <item x="63"/>
        <item x="73"/>
        <item x="127"/>
        <item x="45"/>
        <item x="135"/>
        <item x="52"/>
        <item x="43"/>
        <item x="165"/>
        <item x="34"/>
        <item x="142"/>
        <item x="65"/>
        <item x="164"/>
        <item x="24"/>
        <item x="146"/>
        <item x="101"/>
        <item x="158"/>
        <item x="32"/>
        <item x="103"/>
        <item x="93"/>
        <item x="113"/>
        <item x="151"/>
        <item x="118"/>
        <item x="48"/>
        <item x="104"/>
        <item x="140"/>
        <item x="110"/>
        <item x="26"/>
        <item x="154"/>
        <item x="107"/>
        <item x="130"/>
        <item x="88"/>
        <item x="122"/>
        <item x="132"/>
        <item x="94"/>
        <item x="126"/>
        <item x="106"/>
        <item x="30"/>
        <item x="95"/>
        <item x="79"/>
        <item x="0"/>
        <item x="85"/>
        <item x="21"/>
        <item x="80"/>
        <item x="133"/>
        <item x="160"/>
        <item x="134"/>
        <item x="152"/>
        <item x="50"/>
        <item x="10"/>
        <item x="27"/>
        <item x="89"/>
        <item x="37"/>
        <item x="20"/>
        <item x="161"/>
        <item x="8"/>
        <item x="145"/>
        <item x="2"/>
        <item x="72"/>
        <item x="1"/>
        <item x="33"/>
        <item x="78"/>
        <item x="5"/>
        <item x="84"/>
        <item x="129"/>
        <item x="139"/>
        <item x="172"/>
        <item x="131"/>
        <item x="87"/>
        <item x="96"/>
        <item x="155"/>
        <item x="83"/>
        <item x="82"/>
        <item x="171"/>
        <item x="156"/>
        <item x="74"/>
        <item x="138"/>
        <item x="112"/>
        <item x="166"/>
        <item x="16"/>
        <item x="100"/>
        <item x="38"/>
        <item x="143"/>
        <item x="109"/>
        <item x="69"/>
        <item x="9"/>
        <item x="141"/>
        <item x="75"/>
        <item x="157"/>
        <item x="148"/>
        <item x="18"/>
        <item x="39"/>
        <item x="14"/>
        <item x="7"/>
        <item x="99"/>
        <item x="68"/>
        <item x="102"/>
        <item x="35"/>
        <item x="168"/>
        <item x="76"/>
        <item x="119"/>
        <item x="64"/>
        <item x="70"/>
        <item x="91"/>
        <item x="12"/>
        <item x="67"/>
        <item x="6"/>
        <item x="149"/>
        <item x="147"/>
        <item x="114"/>
        <item x="29"/>
        <item x="117"/>
        <item x="36"/>
        <item x="116"/>
        <item x="125"/>
        <item x="25"/>
        <item x="115"/>
        <item x="144"/>
        <item x="98"/>
        <item x="17"/>
        <item x="15"/>
        <item x="77"/>
        <item x="108"/>
        <item x="153"/>
        <item x="124"/>
        <item x="120"/>
        <item x="86"/>
        <item x="3"/>
        <item x="28"/>
        <item x="97"/>
        <item x="31"/>
        <item x="128"/>
        <item t="default"/>
      </items>
    </pivotField>
    <pivotField showAll="0"/>
    <pivotField showAll="0"/>
    <pivotField showAll="0">
      <items count="167">
        <item x="6"/>
        <item x="92"/>
        <item x="7"/>
        <item x="113"/>
        <item x="49"/>
        <item x="53"/>
        <item x="76"/>
        <item x="51"/>
        <item x="106"/>
        <item x="110"/>
        <item x="81"/>
        <item x="2"/>
        <item x="26"/>
        <item x="108"/>
        <item x="93"/>
        <item x="42"/>
        <item x="57"/>
        <item x="67"/>
        <item x="104"/>
        <item x="73"/>
        <item x="55"/>
        <item x="79"/>
        <item x="99"/>
        <item x="103"/>
        <item x="100"/>
        <item x="54"/>
        <item x="58"/>
        <item x="153"/>
        <item x="48"/>
        <item x="19"/>
        <item x="98"/>
        <item x="112"/>
        <item x="155"/>
        <item x="165"/>
        <item x="22"/>
        <item x="9"/>
        <item x="117"/>
        <item x="88"/>
        <item x="23"/>
        <item x="87"/>
        <item x="56"/>
        <item x="40"/>
        <item x="62"/>
        <item x="61"/>
        <item x="85"/>
        <item x="60"/>
        <item x="4"/>
        <item x="116"/>
        <item x="41"/>
        <item x="130"/>
        <item x="128"/>
        <item x="31"/>
        <item x="21"/>
        <item x="111"/>
        <item x="50"/>
        <item x="38"/>
        <item x="59"/>
        <item x="129"/>
        <item x="162"/>
        <item x="35"/>
        <item x="118"/>
        <item x="83"/>
        <item x="139"/>
        <item x="28"/>
        <item x="43"/>
        <item x="0"/>
        <item x="84"/>
        <item x="102"/>
        <item x="44"/>
        <item x="78"/>
        <item x="46"/>
        <item x="144"/>
        <item x="89"/>
        <item x="65"/>
        <item x="147"/>
        <item x="72"/>
        <item x="145"/>
        <item x="77"/>
        <item x="33"/>
        <item x="5"/>
        <item x="80"/>
        <item x="143"/>
        <item x="156"/>
        <item x="68"/>
        <item x="1"/>
        <item x="32"/>
        <item x="142"/>
        <item x="10"/>
        <item x="150"/>
        <item x="94"/>
        <item x="120"/>
        <item x="114"/>
        <item x="18"/>
        <item x="163"/>
        <item x="34"/>
        <item x="105"/>
        <item x="149"/>
        <item x="123"/>
        <item x="124"/>
        <item x="159"/>
        <item x="29"/>
        <item x="63"/>
        <item x="3"/>
        <item x="82"/>
        <item x="91"/>
        <item x="17"/>
        <item x="125"/>
        <item x="37"/>
        <item x="36"/>
        <item x="134"/>
        <item x="30"/>
        <item x="45"/>
        <item x="75"/>
        <item x="160"/>
        <item x="24"/>
        <item x="90"/>
        <item x="47"/>
        <item x="8"/>
        <item x="39"/>
        <item x="52"/>
        <item x="97"/>
        <item x="137"/>
        <item x="70"/>
        <item x="138"/>
        <item x="12"/>
        <item x="140"/>
        <item x="11"/>
        <item x="101"/>
        <item x="119"/>
        <item x="148"/>
        <item x="86"/>
        <item x="141"/>
        <item x="20"/>
        <item x="66"/>
        <item x="64"/>
        <item x="107"/>
        <item x="136"/>
        <item x="146"/>
        <item x="15"/>
        <item x="122"/>
        <item x="16"/>
        <item x="96"/>
        <item x="14"/>
        <item x="71"/>
        <item x="161"/>
        <item x="133"/>
        <item x="158"/>
        <item x="121"/>
        <item x="152"/>
        <item x="132"/>
        <item x="25"/>
        <item x="27"/>
        <item x="131"/>
        <item x="127"/>
        <item x="135"/>
        <item x="95"/>
        <item x="164"/>
        <item x="115"/>
        <item x="126"/>
        <item x="69"/>
        <item x="151"/>
        <item x="13"/>
        <item x="157"/>
        <item x="74"/>
        <item x="154"/>
        <item x="109"/>
        <item t="default"/>
      </items>
    </pivotField>
    <pivotField showAll="0"/>
    <pivotField showAll="0"/>
    <pivotField showAll="0">
      <items count="50">
        <item x="21"/>
        <item x="6"/>
        <item x="5"/>
        <item x="25"/>
        <item x="44"/>
        <item x="12"/>
        <item x="17"/>
        <item x="37"/>
        <item x="11"/>
        <item x="9"/>
        <item x="4"/>
        <item x="24"/>
        <item x="26"/>
        <item x="20"/>
        <item x="39"/>
        <item x="1"/>
        <item x="42"/>
        <item x="7"/>
        <item x="32"/>
        <item x="40"/>
        <item x="14"/>
        <item x="28"/>
        <item x="19"/>
        <item x="13"/>
        <item x="18"/>
        <item x="2"/>
        <item x="0"/>
        <item x="45"/>
        <item x="8"/>
        <item x="41"/>
        <item x="22"/>
        <item x="15"/>
        <item x="16"/>
        <item x="3"/>
        <item x="46"/>
        <item x="36"/>
        <item x="10"/>
        <item x="29"/>
        <item x="38"/>
        <item x="48"/>
        <item x="23"/>
        <item x="27"/>
        <item x="47"/>
        <item x="31"/>
        <item x="33"/>
        <item x="34"/>
        <item x="30"/>
        <item x="35"/>
        <item x="43"/>
        <item t="default"/>
      </items>
    </pivotField>
    <pivotField showAll="0"/>
    <pivotField showAll="0"/>
    <pivotField showAll="0"/>
    <pivotField showAll="0"/>
  </pivotFields>
  <rowFields count="1">
    <field x="1"/>
  </rowFields>
  <rowItems count="174">
    <i>
      <x v="114"/>
    </i>
    <i>
      <x v="98"/>
    </i>
    <i>
      <x v="112"/>
    </i>
    <i>
      <x v="119"/>
    </i>
    <i>
      <x v="55"/>
    </i>
    <i>
      <x v="157"/>
    </i>
    <i>
      <x v="56"/>
    </i>
    <i>
      <x v="81"/>
    </i>
    <i>
      <x v="71"/>
    </i>
    <i>
      <x v="139"/>
    </i>
    <i>
      <x v="62"/>
    </i>
    <i>
      <x v="99"/>
    </i>
    <i>
      <x v="96"/>
    </i>
    <i>
      <x v="159"/>
    </i>
    <i>
      <x v="155"/>
    </i>
    <i>
      <x v="51"/>
    </i>
    <i>
      <x v="74"/>
    </i>
    <i>
      <x v="158"/>
    </i>
    <i>
      <x v="156"/>
    </i>
    <i>
      <x v="24"/>
    </i>
    <i>
      <x v="172"/>
    </i>
    <i>
      <x v="59"/>
    </i>
    <i>
      <x v="86"/>
    </i>
    <i>
      <x v="105"/>
    </i>
    <i>
      <x v="68"/>
    </i>
    <i>
      <x v="20"/>
    </i>
    <i>
      <x v="132"/>
    </i>
    <i>
      <x v="77"/>
    </i>
    <i>
      <x v="29"/>
    </i>
    <i>
      <x v="147"/>
    </i>
    <i>
      <x v="113"/>
    </i>
    <i>
      <x v="88"/>
    </i>
    <i>
      <x v="146"/>
    </i>
    <i>
      <x v="131"/>
    </i>
    <i>
      <x v="166"/>
    </i>
    <i>
      <x v="12"/>
    </i>
    <i>
      <x v="170"/>
    </i>
    <i>
      <x v="26"/>
    </i>
    <i>
      <x v="82"/>
    </i>
    <i>
      <x v="97"/>
    </i>
    <i>
      <x v="143"/>
    </i>
    <i>
      <x v="13"/>
    </i>
    <i>
      <x v="65"/>
    </i>
    <i>
      <x v="123"/>
    </i>
    <i>
      <x v="136"/>
    </i>
    <i>
      <x v="161"/>
    </i>
    <i>
      <x v="3"/>
    </i>
    <i>
      <x v="103"/>
    </i>
    <i>
      <x v="107"/>
    </i>
    <i>
      <x v="144"/>
    </i>
    <i>
      <x v="142"/>
    </i>
    <i>
      <x v="115"/>
    </i>
    <i>
      <x v="153"/>
    </i>
    <i>
      <x v="141"/>
    </i>
    <i>
      <x v="67"/>
    </i>
    <i>
      <x v="18"/>
    </i>
    <i>
      <x v="129"/>
    </i>
    <i>
      <x v="16"/>
    </i>
    <i>
      <x v="92"/>
    </i>
    <i>
      <x v="9"/>
    </i>
    <i>
      <x v="23"/>
    </i>
    <i>
      <x v="124"/>
    </i>
    <i>
      <x v="78"/>
    </i>
    <i>
      <x v="19"/>
    </i>
    <i>
      <x v="69"/>
    </i>
    <i>
      <x v="160"/>
    </i>
    <i>
      <x v="49"/>
    </i>
    <i>
      <x v="167"/>
    </i>
    <i>
      <x v="152"/>
    </i>
    <i>
      <x v="66"/>
    </i>
    <i>
      <x v="140"/>
    </i>
    <i>
      <x v="148"/>
    </i>
    <i>
      <x v="72"/>
    </i>
    <i>
      <x v="7"/>
    </i>
    <i>
      <x v="126"/>
    </i>
    <i>
      <x v="128"/>
    </i>
    <i>
      <x v="47"/>
    </i>
    <i>
      <x v="150"/>
    </i>
    <i>
      <x v="163"/>
    </i>
    <i>
      <x v="14"/>
    </i>
    <i>
      <x v="57"/>
    </i>
    <i>
      <x v="76"/>
    </i>
    <i>
      <x v="165"/>
    </i>
    <i>
      <x v="108"/>
    </i>
    <i>
      <x v="52"/>
    </i>
    <i>
      <x v="11"/>
    </i>
    <i>
      <x v="94"/>
    </i>
    <i>
      <x v="87"/>
    </i>
    <i>
      <x v="25"/>
    </i>
    <i>
      <x v="137"/>
    </i>
    <i>
      <x v="151"/>
    </i>
    <i>
      <x v="10"/>
    </i>
    <i>
      <x v="70"/>
    </i>
    <i>
      <x v="111"/>
    </i>
    <i>
      <x v="17"/>
    </i>
    <i>
      <x v="42"/>
    </i>
    <i>
      <x v="79"/>
    </i>
    <i>
      <x v="133"/>
    </i>
    <i>
      <x v="171"/>
    </i>
    <i>
      <x v="75"/>
    </i>
    <i>
      <x v="116"/>
    </i>
    <i>
      <x v="162"/>
    </i>
    <i>
      <x v="73"/>
    </i>
    <i>
      <x v="135"/>
    </i>
    <i>
      <x v="32"/>
    </i>
    <i>
      <x v="85"/>
    </i>
    <i>
      <x/>
    </i>
    <i>
      <x v="95"/>
    </i>
    <i>
      <x v="28"/>
    </i>
    <i>
      <x v="22"/>
    </i>
    <i>
      <x v="118"/>
    </i>
    <i>
      <x v="154"/>
    </i>
    <i>
      <x v="122"/>
    </i>
    <i>
      <x v="60"/>
    </i>
    <i>
      <x v="164"/>
    </i>
    <i>
      <x v="33"/>
    </i>
    <i>
      <x v="117"/>
    </i>
    <i>
      <x v="91"/>
    </i>
    <i>
      <x v="84"/>
    </i>
    <i>
      <x v="21"/>
    </i>
    <i>
      <x v="120"/>
    </i>
    <i>
      <x v="50"/>
    </i>
    <i>
      <x v="93"/>
    </i>
    <i>
      <x v="46"/>
    </i>
    <i>
      <x v="125"/>
    </i>
    <i>
      <x v="4"/>
    </i>
    <i>
      <x v="38"/>
    </i>
    <i>
      <x v="53"/>
    </i>
    <i>
      <x v="43"/>
    </i>
    <i>
      <x v="168"/>
    </i>
    <i>
      <x v="6"/>
    </i>
    <i>
      <x v="134"/>
    </i>
    <i>
      <x v="80"/>
    </i>
    <i>
      <x v="41"/>
    </i>
    <i>
      <x v="2"/>
    </i>
    <i>
      <x v="169"/>
    </i>
    <i>
      <x v="127"/>
    </i>
    <i>
      <x v="8"/>
    </i>
    <i>
      <x v="130"/>
    </i>
    <i>
      <x v="45"/>
    </i>
    <i>
      <x v="149"/>
    </i>
    <i>
      <x v="89"/>
    </i>
    <i>
      <x v="110"/>
    </i>
    <i>
      <x v="30"/>
    </i>
    <i>
      <x v="101"/>
    </i>
    <i>
      <x v="31"/>
    </i>
    <i>
      <x v="15"/>
    </i>
    <i>
      <x v="27"/>
    </i>
    <i>
      <x v="54"/>
    </i>
    <i>
      <x v="1"/>
    </i>
    <i>
      <x v="58"/>
    </i>
    <i>
      <x v="63"/>
    </i>
    <i>
      <x v="5"/>
    </i>
    <i>
      <x v="102"/>
    </i>
    <i>
      <x v="48"/>
    </i>
    <i>
      <x v="44"/>
    </i>
    <i>
      <x v="83"/>
    </i>
    <i>
      <x v="104"/>
    </i>
    <i>
      <x v="106"/>
    </i>
    <i>
      <x v="145"/>
    </i>
    <i>
      <x v="64"/>
    </i>
    <i>
      <x v="34"/>
    </i>
    <i>
      <x v="109"/>
    </i>
    <i>
      <x v="61"/>
    </i>
    <i>
      <x v="121"/>
    </i>
    <i>
      <x v="138"/>
    </i>
    <i>
      <x v="36"/>
    </i>
    <i>
      <x v="39"/>
    </i>
    <i>
      <x v="37"/>
    </i>
    <i>
      <x v="90"/>
    </i>
    <i>
      <x v="40"/>
    </i>
    <i>
      <x v="100"/>
    </i>
    <i>
      <x v="35"/>
    </i>
    <i t="grand">
      <x/>
    </i>
  </rowItems>
  <colItems count="1">
    <i/>
  </colItems>
  <dataFields count="1">
    <dataField name="Average of employment_rate" fld="11"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788C44-180F-44EF-9D7E-4F88EB28C610}" autoFormatId="16" applyNumberFormats="0" applyBorderFormats="0" applyFontFormats="0" applyPatternFormats="0" applyAlignmentFormats="0" applyWidthHeightFormats="0">
  <queryTableRefresh nextId="26">
    <queryTableFields count="25">
      <queryTableField id="1" name="Major_code" tableColumnId="1"/>
      <queryTableField id="2" name="Major" tableColumnId="2"/>
      <queryTableField id="3" name="Major_category" tableColumnId="3"/>
      <queryTableField id="4" name="Total_ws" tableColumnId="4"/>
      <queryTableField id="5" name="Employed" tableColumnId="5"/>
      <queryTableField id="6" name="Employed_full_time_year_round" tableColumnId="6"/>
      <queryTableField id="7" name="Unemployed" tableColumnId="7"/>
      <queryTableField id="8" name="Unemployment_rate" tableColumnId="8"/>
      <queryTableField id="9" name="Median" tableColumnId="9"/>
      <queryTableField id="10" name="P25th" tableColumnId="10"/>
      <queryTableField id="11" name="P75th" tableColumnId="11"/>
      <queryTableField id="12" name="employment_rate" tableColumnId="12"/>
      <queryTableField id="13" name="full_time_share" tableColumnId="13"/>
      <queryTableField id="14" name="salary_spread" tableColumnId="14"/>
      <queryTableField id="15" name="ShareWomen" tableColumnId="15"/>
      <queryTableField id="16" name="College_jobs" tableColumnId="16"/>
      <queryTableField id="17" name="Non_college_jobs" tableColumnId="17"/>
      <queryTableField id="18" name="Low_wage_jobs" tableColumnId="18"/>
      <queryTableField id="19" name="Grad_median" tableColumnId="19"/>
      <queryTableField id="20" name="Nongrad_median" tableColumnId="20"/>
      <queryTableField id="21" name="salary_premium" tableColumnId="21"/>
      <queryTableField id="22" name="Total_ws_men" tableColumnId="22"/>
      <queryTableField id="23" name="Men" tableColumnId="23"/>
      <queryTableField id="24" name="Women" tableColumnId="24"/>
      <queryTableField id="25" name="Major_Category.1"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spread" xr10:uid="{89682C99-B003-4948-8032-052A141A5312}" sourceName="salary_spread">
  <pivotTables>
    <pivotTable tabId="1" name="PivotTable16"/>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5"/>
    <pivotTable tabId="1" name="PivotTable6"/>
    <pivotTable tabId="1" name="PivotTable7"/>
    <pivotTable tabId="1" name="PivotTable8"/>
    <pivotTable tabId="1" name="PivotTable9"/>
    <pivotTable tabId="1" name="PivotTable4"/>
    <pivotTable tabId="1" name="PivotTable15"/>
    <pivotTable tabId="1" name="PivotTable17"/>
    <pivotTable tabId="1" name="PivotTable18"/>
    <pivotTable tabId="1" name="PivotTable19"/>
    <pivotTable tabId="1" name="PivotTable20"/>
  </pivotTables>
  <data>
    <tabular pivotCacheId="2087452835">
      <items count="78">
        <i x="21" s="1"/>
        <i x="25" s="1"/>
        <i x="22" s="1"/>
        <i x="27" s="1"/>
        <i x="28" s="1"/>
        <i x="58" s="1"/>
        <i x="29" s="1"/>
        <i x="52" s="1"/>
        <i x="23" s="1"/>
        <i x="19" s="1"/>
        <i x="63" s="1"/>
        <i x="48" s="1"/>
        <i x="26" s="1"/>
        <i x="71" s="1"/>
        <i x="24" s="1"/>
        <i x="70" s="1"/>
        <i x="72" s="1"/>
        <i x="18" s="1"/>
        <i x="62" s="1"/>
        <i x="20" s="1"/>
        <i x="59" s="1"/>
        <i x="30" s="1"/>
        <i x="47" s="1"/>
        <i x="66" s="1"/>
        <i x="49" s="1"/>
        <i x="51" s="1"/>
        <i x="7" s="1"/>
        <i x="73" s="1"/>
        <i x="9" s="1"/>
        <i x="13" s="1"/>
        <i x="11" s="1"/>
        <i x="55" s="1"/>
        <i x="8" s="1"/>
        <i x="68" s="1"/>
        <i x="5" s="1"/>
        <i x="15" s="1"/>
        <i x="14" s="1"/>
        <i x="77" s="1"/>
        <i x="3" s="1"/>
        <i x="50" s="1"/>
        <i x="54" s="1"/>
        <i x="1" s="1"/>
        <i x="45" s="1"/>
        <i x="12" s="1"/>
        <i x="0" s="1"/>
        <i x="76" s="1"/>
        <i x="36" s="1"/>
        <i x="46" s="1"/>
        <i x="6" s="1"/>
        <i x="17" s="1"/>
        <i x="53" s="1"/>
        <i x="31" s="1"/>
        <i x="57" s="1"/>
        <i x="33" s="1"/>
        <i x="65" s="1"/>
        <i x="4" s="1"/>
        <i x="32" s="1"/>
        <i x="43" s="1"/>
        <i x="10" s="1"/>
        <i x="16" s="1"/>
        <i x="37" s="1"/>
        <i x="69" s="1"/>
        <i x="34" s="1"/>
        <i x="44" s="1"/>
        <i x="74" s="1"/>
        <i x="2" s="1"/>
        <i x="56" s="1"/>
        <i x="35" s="1"/>
        <i x="61" s="1"/>
        <i x="75" s="1"/>
        <i x="41" s="1"/>
        <i x="40" s="1"/>
        <i x="64" s="1"/>
        <i x="67" s="1"/>
        <i x="38" s="1"/>
        <i x="39" s="1"/>
        <i x="60" s="1"/>
        <i x="4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jor" xr10:uid="{0906C9FF-97CE-4614-BBB5-3082285DA8F0}" sourceName="Major">
  <pivotTables>
    <pivotTable tabId="1" name="PivotTable16"/>
    <pivotTable tabId="1" name="PivotTable1"/>
    <pivotTable tabId="1" name="PivotTable10"/>
    <pivotTable tabId="1" name="PivotTable11"/>
    <pivotTable tabId="1" name="PivotTable12"/>
    <pivotTable tabId="1" name="PivotTable13"/>
    <pivotTable tabId="1" name="PivotTable14"/>
    <pivotTable tabId="1" name="PivotTable15"/>
    <pivotTable tabId="1" name="PivotTable17"/>
    <pivotTable tabId="1" name="PivotTable18"/>
    <pivotTable tabId="1" name="PivotTable19"/>
    <pivotTable tabId="1" name="PivotTable2"/>
    <pivotTable tabId="1" name="PivotTable20"/>
    <pivotTable tabId="1" name="PivotTable3"/>
    <pivotTable tabId="1" name="PivotTable4"/>
    <pivotTable tabId="1" name="PivotTable5"/>
    <pivotTable tabId="1" name="PivotTable6"/>
    <pivotTable tabId="1" name="PivotTable7"/>
    <pivotTable tabId="1" name="PivotTable8"/>
    <pivotTable tabId="1" name="PivotTable9"/>
  </pivotTables>
  <data>
    <tabular pivotCacheId="2087452835">
      <items count="173">
        <i x="159" s="1"/>
        <i x="160" s="1"/>
        <i x="16" s="1"/>
        <i x="41" s="1"/>
        <i x="2" s="1"/>
        <i x="1" s="1"/>
        <i x="3" s="1"/>
        <i x="128" s="1"/>
        <i x="91" s="1"/>
        <i x="43" s="1"/>
        <i x="11" s="1"/>
        <i x="12" s="1"/>
        <i x="38" s="1"/>
        <i x="144" s="1"/>
        <i x="104" s="1"/>
        <i x="105" s="1"/>
        <i x="79" s="1"/>
        <i x="42" s="1"/>
        <i x="78" s="1"/>
        <i x="44" s="1"/>
        <i x="80" s="1"/>
        <i x="163" s="1"/>
        <i x="161" s="1"/>
        <i x="45" s="1"/>
        <i x="106" s="1"/>
        <i x="46" s="1"/>
        <i x="116" s="1"/>
        <i x="98" s="1"/>
        <i x="142" s="1"/>
        <i x="148" s="1"/>
        <i x="17" s="1"/>
        <i x="13" s="1"/>
        <i x="156" s="1"/>
        <i x="74" s="1"/>
        <i x="22" s="1"/>
        <i x="18" s="1"/>
        <i x="47" s="1"/>
        <i x="23" s="1"/>
        <i x="19" s="1"/>
        <i x="20" s="1"/>
        <i x="135" s="1"/>
        <i x="24" s="1"/>
        <i x="117" s="1"/>
        <i x="71" s="1"/>
        <i x="121" s="1"/>
        <i x="129" s="1"/>
        <i x="139" s="1"/>
        <i x="31" s="1"/>
        <i x="82" s="1"/>
        <i x="127" s="1"/>
        <i x="26" s="1"/>
        <i x="115" s="1"/>
        <i x="48" s="1"/>
        <i x="63" s="1"/>
        <i x="136" s="1"/>
        <i x="28" s="1"/>
        <i x="62" s="1"/>
        <i x="49" s="1"/>
        <i x="61" s="1"/>
        <i x="73" s="1"/>
        <i x="50" s="1"/>
        <i x="8" s="1"/>
        <i x="70" s="1"/>
        <i x="143" s="1"/>
        <i x="165" s="1"/>
        <i x="138" s="1"/>
        <i x="4" s="1"/>
        <i x="9" s="1"/>
        <i x="68" s="1"/>
        <i x="0" s="1"/>
        <i x="158" s="1"/>
        <i x="25" s="1"/>
        <i x="40" s="1"/>
        <i x="147" s="1"/>
        <i x="126" s="1"/>
        <i x="83" s="1"/>
        <i x="130" s="1"/>
        <i x="51" s="1"/>
        <i x="107" s="1"/>
        <i x="108" s="1"/>
        <i x="149" s="1"/>
        <i x="152" s="1"/>
        <i x="171" s="1"/>
        <i x="168" s="1"/>
        <i x="166" s="1"/>
        <i x="124" s="1"/>
        <i x="76" s="1"/>
        <i x="52" s="1"/>
        <i x="118" s="1"/>
        <i x="64" s="1"/>
        <i x="21" s="1"/>
        <i x="95" s="1"/>
        <i x="99" s="1"/>
        <i x="167" s="1"/>
        <i x="131" s="1"/>
        <i x="14" s="1"/>
        <i x="37" s="1"/>
        <i x="75" s="1"/>
        <i x="77" s="1"/>
        <i x="67" s="1"/>
        <i x="169" s="1"/>
        <i x="164" s="1"/>
        <i x="15" s="1"/>
        <i x="53" s="1"/>
        <i x="111" s="1"/>
        <i x="90" s="1"/>
        <i x="97" s="1"/>
        <i x="29" s="1"/>
        <i x="54" s="1"/>
        <i x="65" s="1"/>
        <i x="150" s="1"/>
        <i x="151" s="1"/>
        <i x="55" s="1"/>
        <i x="84" s="1"/>
        <i x="93" s="1"/>
        <i x="56" s="1"/>
        <i x="7" s="1"/>
        <i x="89" s="1"/>
        <i x="170" s="1"/>
        <i x="39" s="1"/>
        <i x="60" s="1"/>
        <i x="66" s="1"/>
        <i x="146" s="1"/>
        <i x="157" s="1"/>
        <i x="120" s="1"/>
        <i x="134" s="1"/>
        <i x="81" s="1"/>
        <i x="94" s="1"/>
        <i x="112" s="1"/>
        <i x="140" s="1"/>
        <i x="10" s="1"/>
        <i x="57" s="1"/>
        <i x="88" s="1"/>
        <i x="58" s="1"/>
        <i x="113" s="1"/>
        <i x="153" s="1"/>
        <i x="96" s="1"/>
        <i x="109" s="1"/>
        <i x="162" s="1"/>
        <i x="69" s="1"/>
        <i x="59" s="1"/>
        <i x="85" s="1"/>
        <i x="154" s="1"/>
        <i x="101" s="1"/>
        <i x="30" s="1"/>
        <i x="100" s="1"/>
        <i x="103" s="1"/>
        <i x="110" s="1"/>
        <i x="86" s="1"/>
        <i x="5" s="1"/>
        <i x="132" s="1"/>
        <i x="72" s="1"/>
        <i x="114" s="1"/>
        <i x="122" s="1"/>
        <i x="123" s="1"/>
        <i x="27" s="1"/>
        <i x="32" s="1"/>
        <i x="33" s="1"/>
        <i x="119" s="1"/>
        <i x="35" s="1"/>
        <i x="125" s="1"/>
        <i x="133" s="1"/>
        <i x="6" s="1"/>
        <i x="34" s="1"/>
        <i x="92" s="1"/>
        <i x="145" s="1"/>
        <i x="36" s="1"/>
        <i x="102" s="1"/>
        <i x="137" s="1"/>
        <i x="155" s="1"/>
        <i x="172" s="1"/>
        <i x="141" s="1"/>
        <i x="8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jor_category" xr10:uid="{275682C8-2A1A-4F63-B620-E8BECCD3E708}" sourceName="Major_category">
  <pivotTables>
    <pivotTable tabId="1" name="PivotTable16"/>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5"/>
    <pivotTable tabId="1" name="PivotTable6"/>
    <pivotTable tabId="1" name="PivotTable7"/>
    <pivotTable tabId="1" name="PivotTable8"/>
    <pivotTable tabId="1" name="PivotTable9"/>
    <pivotTable tabId="1" name="PivotTable4"/>
    <pivotTable tabId="1" name="PivotTable15"/>
    <pivotTable tabId="1" name="PivotTable17"/>
    <pivotTable tabId="1" name="PivotTable18"/>
    <pivotTable tabId="1" name="PivotTable19"/>
    <pivotTable tabId="1" name="PivotTable20"/>
  </pivotTables>
  <data>
    <tabular pivotCacheId="2087452835">
      <items count="16">
        <i x="0" s="1"/>
        <i x="14" s="1"/>
        <i x="1" s="1"/>
        <i x="15" s="1"/>
        <i x="4" s="1"/>
        <i x="5" s="1"/>
        <i x="7" s="1"/>
        <i x="2" s="1"/>
        <i x="10" s="1"/>
        <i x="3" s="1"/>
        <i x="6" s="1"/>
        <i x="9" s="1"/>
        <i x="8" s="1"/>
        <i x="12" s="1"/>
        <i x="13"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employment_rate" xr10:uid="{CC7791CE-25C1-455E-8B0A-75DFA057487D}" sourceName="Unemployment_rate">
  <pivotTables>
    <pivotTable tabId="1" name="PivotTable16"/>
    <pivotTable tabId="1" name="PivotTable1"/>
    <pivotTable tabId="1" name="PivotTable10"/>
    <pivotTable tabId="1" name="PivotTable11"/>
    <pivotTable tabId="1" name="PivotTable12"/>
    <pivotTable tabId="1" name="PivotTable13"/>
    <pivotTable tabId="1" name="PivotTable14"/>
    <pivotTable tabId="1" name="PivotTable15"/>
    <pivotTable tabId="1" name="PivotTable17"/>
    <pivotTable tabId="1" name="PivotTable18"/>
    <pivotTable tabId="1" name="PivotTable19"/>
    <pivotTable tabId="1" name="PivotTable2"/>
    <pivotTable tabId="1" name="PivotTable20"/>
    <pivotTable tabId="1" name="PivotTable3"/>
    <pivotTable tabId="1" name="PivotTable4"/>
    <pivotTable tabId="1" name="PivotTable5"/>
    <pivotTable tabId="1" name="PivotTable6"/>
    <pivotTable tabId="1" name="PivotTable7"/>
    <pivotTable tabId="1" name="PivotTable8"/>
    <pivotTable tabId="1" name="PivotTable9"/>
  </pivotTables>
  <data>
    <tabular pivotCacheId="2087452835">
      <items count="172">
        <i x="26" s="1"/>
        <i x="84" s="1"/>
        <i x="110" s="1"/>
        <i x="96" s="1"/>
        <i x="0" s="1"/>
        <i x="154" s="1"/>
        <i x="152" s="1"/>
        <i x="1" s="1"/>
        <i x="2" s="1"/>
        <i x="149" s="1"/>
        <i x="5" s="1"/>
        <i x="29" s="1"/>
        <i x="36" s="1"/>
        <i x="79" s="1"/>
        <i x="153" s="1"/>
        <i x="150" s="1"/>
        <i x="104" s="1"/>
        <i x="28" s="1"/>
        <i x="102" s="1"/>
        <i x="39" s="1"/>
        <i x="7" s="1"/>
        <i x="56" s="1"/>
        <i x="38" s="1"/>
        <i x="82" s="1"/>
        <i x="41" s="1"/>
        <i x="32" s="1"/>
        <i x="58" s="1"/>
        <i x="101" s="1"/>
        <i x="9" s="1"/>
        <i x="3" s="1"/>
        <i x="107" s="1"/>
        <i x="161" s="1"/>
        <i x="64" s="1"/>
        <i x="33" s="1"/>
        <i x="49" s="1"/>
        <i x="53" s="1"/>
        <i x="25" s="1"/>
        <i x="168" s="1"/>
        <i x="54" s="1"/>
        <i x="111" s="1"/>
        <i x="50" s="1"/>
        <i x="35" s="1"/>
        <i x="45" s="1"/>
        <i x="30" s="1"/>
        <i x="147" s="1"/>
        <i x="60" s="1"/>
        <i x="99" s="1"/>
        <i x="55" s="1"/>
        <i x="34" s="1"/>
        <i x="136" s="1"/>
        <i x="88" s="1"/>
        <i x="40" s="1"/>
        <i x="37" s="1"/>
        <i x="86" s="1"/>
        <i x="164" s="1"/>
        <i x="97" s="1"/>
        <i x="81" s="1"/>
        <i x="4" s="1"/>
        <i x="31" s="1"/>
        <i x="20" s="1"/>
        <i x="63" s="1"/>
        <i x="48" s="1"/>
        <i x="6" s="1"/>
        <i x="83" s="1"/>
        <i x="134" s="1"/>
        <i x="85" s="1"/>
        <i x="8" s="1"/>
        <i x="157" s="1"/>
        <i x="167" s="1"/>
        <i x="51" s="1"/>
        <i x="18" s="1"/>
        <i x="135" s="1"/>
        <i x="109" s="1"/>
        <i x="169" s="1"/>
        <i x="21" s="1"/>
        <i x="89" s="1"/>
        <i x="46" s="1"/>
        <i x="158" s="1"/>
        <i x="156" s="1"/>
        <i x="108" s="1"/>
        <i x="120" s="1"/>
        <i x="10" s="1"/>
        <i x="133" s="1"/>
        <i x="61" s="1"/>
        <i x="146" s="1"/>
        <i x="139" s="1"/>
        <i x="105" s="1"/>
        <i x="47" s="1"/>
        <i x="24" s="1"/>
        <i x="163" s="1"/>
        <i x="90" s="1"/>
        <i x="69" s="1"/>
        <i x="159" s="1"/>
        <i x="148" s="1"/>
        <i x="91" s="1"/>
        <i x="62" s="1"/>
        <i x="23" s="1"/>
        <i x="67" s="1"/>
        <i x="59" s="1"/>
        <i x="160" s="1"/>
        <i x="42" s="1"/>
        <i x="77" s="1"/>
        <i x="124" s="1"/>
        <i x="52" s="1"/>
        <i x="65" s="1"/>
        <i x="80" s="1"/>
        <i x="165" s="1"/>
        <i x="126" s="1"/>
        <i x="162" s="1"/>
        <i x="14" s="1"/>
        <i x="95" s="1"/>
        <i x="143" s="1"/>
        <i x="13" s="1"/>
        <i x="128" s="1"/>
        <i x="106" s="1"/>
        <i x="98" s="1"/>
        <i x="132" s="1"/>
        <i x="170" s="1"/>
        <i x="70" s="1"/>
        <i x="155" s="1"/>
        <i x="57" s="1"/>
        <i x="16" s="1"/>
        <i x="74" s="1"/>
        <i x="12" s="1"/>
        <i x="116" s="1"/>
        <i x="72" s="1"/>
        <i x="87" s="1"/>
        <i x="129" s="1"/>
        <i x="43" s="1"/>
        <i x="131" s="1"/>
        <i x="121" s="1"/>
        <i x="113" s="1"/>
        <i x="71" s="1"/>
        <i x="112" s="1"/>
        <i x="151" s="1"/>
        <i x="130" s="1"/>
        <i x="125" s="1"/>
        <i x="166" s="1"/>
        <i x="78" s="1"/>
        <i x="137" s="1"/>
        <i x="68" s="1"/>
        <i x="123" s="1"/>
        <i x="171" s="1"/>
        <i x="73" s="1"/>
        <i x="141" s="1"/>
        <i x="94" s="1"/>
        <i x="100" s="1"/>
        <i x="22" s="1"/>
        <i x="114" s="1"/>
        <i x="93" s="1"/>
        <i x="75" s="1"/>
        <i x="127" s="1"/>
        <i x="44" s="1"/>
        <i x="122" s="1"/>
        <i x="138" s="1"/>
        <i x="66" s="1"/>
        <i x="119" s="1"/>
        <i x="15" s="1"/>
        <i x="117" s="1"/>
        <i x="144" s="1"/>
        <i x="17" s="1"/>
        <i x="142" s="1"/>
        <i x="11" s="1"/>
        <i x="103" s="1"/>
        <i x="118" s="1"/>
        <i x="19" s="1"/>
        <i x="140" s="1"/>
        <i x="76" s="1"/>
        <i x="27" s="1"/>
        <i x="92" s="1"/>
        <i x="115" s="1"/>
        <i x="14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an" xr10:uid="{AE732B7B-DF7F-42EA-B5D0-9CCE1FD59675}" sourceName="Median">
  <pivotTables>
    <pivotTable tabId="1" name="PivotTable16"/>
    <pivotTable tabId="1" name="PivotTable1"/>
    <pivotTable tabId="1" name="PivotTable10"/>
    <pivotTable tabId="1" name="PivotTable11"/>
    <pivotTable tabId="1" name="PivotTable12"/>
    <pivotTable tabId="1" name="PivotTable13"/>
    <pivotTable tabId="1" name="PivotTable14"/>
    <pivotTable tabId="1" name="PivotTable15"/>
    <pivotTable tabId="1" name="PivotTable17"/>
    <pivotTable tabId="1" name="PivotTable18"/>
    <pivotTable tabId="1" name="PivotTable19"/>
    <pivotTable tabId="1" name="PivotTable2"/>
    <pivotTable tabId="1" name="PivotTable20"/>
    <pivotTable tabId="1" name="PivotTable3"/>
    <pivotTable tabId="1" name="PivotTable4"/>
    <pivotTable tabId="1" name="PivotTable5"/>
    <pivotTable tabId="1" name="PivotTable6"/>
    <pivotTable tabId="1" name="PivotTable7"/>
    <pivotTable tabId="1" name="PivotTable8"/>
    <pivotTable tabId="1" name="PivotTable9"/>
  </pivotTables>
  <data>
    <tabular pivotCacheId="2087452835">
      <items count="58">
        <i x="39" s="1"/>
        <i x="17" s="1"/>
        <i x="54" s="1"/>
        <i x="49" s="1"/>
        <i x="47" s="1"/>
        <i x="13" s="1"/>
        <i x="34" s="1"/>
        <i x="15" s="1"/>
        <i x="19" s="1"/>
        <i x="20" s="1"/>
        <i x="14" s="1"/>
        <i x="43" s="1"/>
        <i x="53" s="1"/>
        <i x="18" s="1"/>
        <i x="3" s="1"/>
        <i x="52" s="1"/>
        <i x="35" s="1"/>
        <i x="48" s="1"/>
        <i x="38" s="1"/>
        <i x="7" s="1"/>
        <i x="16" s="1"/>
        <i x="51" s="1"/>
        <i x="42" s="1"/>
        <i x="0" s="1"/>
        <i x="36" s="1"/>
        <i x="5" s="1"/>
        <i x="37" s="1"/>
        <i x="1" s="1"/>
        <i x="12" s="1"/>
        <i x="46" s="1"/>
        <i x="45" s="1"/>
        <i x="6" s="1"/>
        <i x="44" s="1"/>
        <i x="9" s="1"/>
        <i x="56" s="1"/>
        <i x="4" s="1"/>
        <i x="2" s="1"/>
        <i x="41" s="1"/>
        <i x="8" s="1"/>
        <i x="40" s="1"/>
        <i x="33" s="1"/>
        <i x="11" s="1"/>
        <i x="50" s="1"/>
        <i x="25" s="1"/>
        <i x="57" s="1"/>
        <i x="32" s="1"/>
        <i x="21" s="1"/>
        <i x="10" s="1"/>
        <i x="22" s="1"/>
        <i x="26" s="1"/>
        <i x="23" s="1"/>
        <i x="24" s="1"/>
        <i x="28" s="1"/>
        <i x="30" s="1"/>
        <i x="27" s="1"/>
        <i x="29" s="1"/>
        <i x="55" s="1"/>
        <i x="3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rate" xr10:uid="{13860819-BDA5-404D-A843-9B2C20497B9D}" sourceName="employment_rate">
  <pivotTables>
    <pivotTable tabId="1" name="PivotTable16"/>
    <pivotTable tabId="1" name="PivotTable1"/>
    <pivotTable tabId="1" name="PivotTable10"/>
    <pivotTable tabId="1" name="PivotTable11"/>
    <pivotTable tabId="1" name="PivotTable12"/>
    <pivotTable tabId="1" name="PivotTable13"/>
    <pivotTable tabId="1" name="PivotTable14"/>
    <pivotTable tabId="1" name="PivotTable15"/>
    <pivotTable tabId="1" name="PivotTable17"/>
    <pivotTable tabId="1" name="PivotTable18"/>
    <pivotTable tabId="1" name="PivotTable19"/>
    <pivotTable tabId="1" name="PivotTable2"/>
    <pivotTable tabId="1" name="PivotTable20"/>
    <pivotTable tabId="1" name="PivotTable3"/>
    <pivotTable tabId="1" name="PivotTable4"/>
    <pivotTable tabId="1" name="PivotTable5"/>
    <pivotTable tabId="1" name="PivotTable6"/>
    <pivotTable tabId="1" name="PivotTable7"/>
    <pivotTable tabId="1" name="PivotTable8"/>
    <pivotTable tabId="1" name="PivotTable9"/>
  </pivotTables>
  <data>
    <tabular pivotCacheId="2087452835">
      <items count="173">
        <i x="93" s="1"/>
        <i x="77" s="1"/>
        <i x="55" s="1"/>
        <i x="39" s="1"/>
        <i x="28" s="1"/>
        <i x="33" s="1"/>
        <i x="62" s="1"/>
        <i x="152" s="1"/>
        <i x="25" s="1"/>
        <i x="69" s="1"/>
        <i x="70" s="1"/>
        <i x="67" s="1"/>
        <i x="37" s="1"/>
        <i x="35" s="1"/>
        <i x="27" s="1"/>
        <i x="115" s="1"/>
        <i x="126" s="1"/>
        <i x="119" s="1"/>
        <i x="32" s="1"/>
        <i x="106" s="1"/>
        <i x="87" s="1"/>
        <i x="73" s="1"/>
        <i x="76" s="1"/>
        <i x="90" s="1"/>
        <i x="68" s="1"/>
        <i x="80" s="1"/>
        <i x="88" s="1"/>
        <i x="51" s="1"/>
        <i x="148" s="1"/>
        <i x="110" s="1"/>
        <i x="84" s="1"/>
        <i x="118" s="1"/>
        <i x="103" s="1"/>
        <i x="57" s="1"/>
        <i x="36" s="1"/>
        <i x="38" s="1"/>
        <i x="172" s="1"/>
        <i x="116" s="1"/>
        <i x="171" s="1"/>
        <i x="75" s="1"/>
        <i x="101" s="1"/>
        <i x="144" s="1"/>
        <i x="138" s="1"/>
        <i x="157" s="1"/>
        <i x="96" s="1"/>
        <i x="133" s="1"/>
        <i x="41" s="1"/>
        <i x="53" s="1"/>
        <i x="29" s="1"/>
        <i x="30" s="1"/>
        <i x="154" s="1"/>
        <i x="56" s="1"/>
        <i x="122" s="1"/>
        <i x="85" s="1"/>
        <i x="9" s="1"/>
        <i x="78" s="1"/>
        <i x="140" s="1"/>
        <i x="79" s="1"/>
        <i x="99" s="1"/>
        <i x="43" s="1"/>
        <i x="45" s="1"/>
        <i x="120" s="1"/>
        <i x="107" s="1"/>
        <i x="44" s="1"/>
        <i x="0" s="1"/>
        <i x="125" s="1"/>
        <i x="127" s="1"/>
        <i x="102" s="1"/>
        <i x="114" s="1"/>
        <i x="4" s="1"/>
        <i x="59" s="1"/>
        <i x="86" s="1"/>
        <i x="40" s="1"/>
        <i x="128" s="1"/>
        <i x="81" s="1"/>
        <i x="112" s="1"/>
        <i x="31" s="1"/>
        <i x="132" s="1"/>
        <i x="34" s="1"/>
        <i x="104" s="1"/>
        <i x="49" s="1"/>
        <i x="130" s="1"/>
        <i x="145" s="1"/>
        <i x="54" s="1"/>
        <i x="48" s="1"/>
        <i x="12" s="1"/>
        <i x="131" s="1"/>
        <i x="52" s="1"/>
        <i x="46" s="1"/>
        <i x="109" s="1"/>
        <i x="72" s="1"/>
        <i x="11" s="1"/>
        <i x="158" s="1"/>
        <i x="151" s="1"/>
        <i x="42" s="1"/>
        <i x="117" s="1"/>
        <i x="108" s="1"/>
        <i x="58" s="1"/>
        <i x="141" s="1"/>
        <i x="83" s="1"/>
        <i x="7" s="1"/>
        <i x="6" s="1"/>
        <i x="147" s="1"/>
        <i x="153" s="1"/>
        <i x="156" s="1"/>
        <i x="124" s="1"/>
        <i x="159" s="1"/>
        <i x="14" s="1"/>
        <i x="142" s="1"/>
        <i x="161" s="1"/>
        <i x="170" s="1"/>
        <i x="123" s="1"/>
        <i x="146" s="1"/>
        <i x="50" s="1"/>
        <i x="92" s="1"/>
        <i x="74" s="1"/>
        <i x="89" s="1"/>
        <i x="95" s="1"/>
        <i x="166" s="1"/>
        <i x="163" s="1"/>
        <i x="60" s="1"/>
        <i x="26" s="1"/>
        <i x="167" s="1"/>
        <i x="139" s="1"/>
        <i x="134" s="1"/>
        <i x="2" s="1"/>
        <i x="19" s="1"/>
        <i x="63" s="1"/>
        <i x="71" s="1"/>
        <i x="137" s="1"/>
        <i x="3" s="1"/>
        <i x="113" s="1"/>
        <i x="149" s="1"/>
        <i x="24" s="1"/>
        <i x="16" s="1"/>
        <i x="155" s="1"/>
        <i x="94" s="1"/>
        <i x="91" s="1"/>
        <i x="10" s="1"/>
        <i x="129" s="1"/>
        <i x="5" s="1"/>
        <i x="64" s="1"/>
        <i x="150" s="1"/>
        <i x="17" s="1"/>
        <i x="164" s="1"/>
        <i x="13" s="1"/>
        <i x="105" s="1"/>
        <i x="98" s="1"/>
        <i x="136" s="1"/>
        <i x="160" s="1"/>
        <i x="61" s="1"/>
        <i x="143" s="1"/>
        <i x="1" s="1"/>
        <i x="15" s="1"/>
        <i x="82" s="1"/>
        <i x="121" s="1"/>
        <i x="168" s="1"/>
        <i x="111" s="1"/>
        <i x="97" s="1"/>
        <i x="100" s="1"/>
        <i x="165" s="1"/>
        <i x="22" s="1"/>
        <i x="65" s="1"/>
        <i x="8" s="1"/>
        <i x="66" s="1"/>
        <i x="162" s="1"/>
        <i x="47" s="1"/>
        <i x="20" s="1"/>
        <i x="23" s="1"/>
        <i x="21" s="1"/>
        <i x="135" s="1"/>
        <i x="169" s="1"/>
        <i x="18"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time_share" xr10:uid="{7BC2432F-59C4-4105-AA0D-BDFCCE4B59C6}" sourceName="full_time_share">
  <pivotTables>
    <pivotTable tabId="1" name="PivotTable16"/>
    <pivotTable tabId="1" name="PivotTable1"/>
    <pivotTable tabId="1" name="PivotTable10"/>
    <pivotTable tabId="1" name="PivotTable11"/>
    <pivotTable tabId="1" name="PivotTable12"/>
    <pivotTable tabId="1" name="PivotTable13"/>
    <pivotTable tabId="1" name="PivotTable14"/>
    <pivotTable tabId="1" name="PivotTable15"/>
    <pivotTable tabId="1" name="PivotTable17"/>
    <pivotTable tabId="1" name="PivotTable18"/>
    <pivotTable tabId="1" name="PivotTable19"/>
    <pivotTable tabId="1" name="PivotTable2"/>
    <pivotTable tabId="1" name="PivotTable20"/>
    <pivotTable tabId="1" name="PivotTable3"/>
    <pivotTable tabId="1" name="PivotTable4"/>
    <pivotTable tabId="1" name="PivotTable5"/>
    <pivotTable tabId="1" name="PivotTable6"/>
    <pivotTable tabId="1" name="PivotTable7"/>
    <pivotTable tabId="1" name="PivotTable8"/>
    <pivotTable tabId="1" name="PivotTable9"/>
  </pivotTables>
  <data>
    <tabular pivotCacheId="2087452835">
      <items count="173">
        <i x="150" s="1"/>
        <i x="148" s="1"/>
        <i x="141" s="1"/>
        <i x="146" s="1"/>
        <i x="140" s="1"/>
        <i x="139" s="1"/>
        <i x="88" s="1"/>
        <i x="37" s="1"/>
        <i x="77" s="1"/>
        <i x="38" s="1"/>
        <i x="28" s="1"/>
        <i x="29" s="1"/>
        <i x="31" s="1"/>
        <i x="145" s="1"/>
        <i x="144" s="1"/>
        <i x="95" s="1"/>
        <i x="70" s="1"/>
        <i x="96" s="1"/>
        <i x="116" s="1"/>
        <i x="155" s="1"/>
        <i x="36" s="1"/>
        <i x="86" s="1"/>
        <i x="143" s="1"/>
        <i x="128" s="1"/>
        <i x="68" s="1"/>
        <i x="76" s="1"/>
        <i x="35" s="1"/>
        <i x="120" s="1"/>
        <i x="98" s="1"/>
        <i x="115" s="1"/>
        <i x="74" s="1"/>
        <i x="81" s="1"/>
        <i x="34" s="1"/>
        <i x="138" s="1"/>
        <i x="69" s="1"/>
        <i x="67" s="1"/>
        <i x="12" s="1"/>
        <i x="157" s="1"/>
        <i x="156" s="1"/>
        <i x="117" s="1"/>
        <i x="73" s="1"/>
        <i x="80" s="1"/>
        <i x="32" s="1"/>
        <i x="33" s="1"/>
        <i x="147" s="1"/>
        <i x="101" s="1"/>
        <i x="172" s="1"/>
        <i x="152" s="1"/>
        <i x="114" s="1"/>
        <i x="82" s="1"/>
        <i x="25" s="1"/>
        <i x="142" s="1"/>
        <i x="30" s="1"/>
        <i x="79" s="1"/>
        <i x="126" s="1"/>
        <i x="100" s="1"/>
        <i x="44" s="1"/>
        <i x="153" s="1"/>
        <i x="99" s="1"/>
        <i x="154" s="1"/>
        <i x="104" s="1"/>
        <i x="39" s="1"/>
        <i x="78" s="1"/>
        <i x="118" s="1"/>
        <i x="125" s="1"/>
        <i x="94" s="1"/>
        <i x="124" s="1"/>
        <i x="87" s="1"/>
        <i x="27" s="1"/>
        <i x="133" s="1"/>
        <i x="75" s="1"/>
        <i x="123" s="1"/>
        <i x="15" s="1"/>
        <i x="4" s="1"/>
        <i x="83" s="1"/>
        <i x="102" s="1"/>
        <i x="171" s="1"/>
        <i x="89" s="1"/>
        <i x="85" s="1"/>
        <i x="131" s="1"/>
        <i x="8" s="1"/>
        <i x="90" s="1"/>
        <i x="84" s="1"/>
        <i x="14" s="1"/>
        <i x="168" s="1"/>
        <i x="17" s="1"/>
        <i x="11" s="1"/>
        <i x="110" s="1"/>
        <i x="13" s="1"/>
        <i x="130" s="1"/>
        <i x="72" s="1"/>
        <i x="16" s="1"/>
        <i x="113" s="1"/>
        <i x="119" s="1"/>
        <i x="151" s="1"/>
        <i x="42" s="1"/>
        <i x="10" s="1"/>
        <i x="134" s="1"/>
        <i x="167" s="1"/>
        <i x="111" s="1"/>
        <i x="92" s="1"/>
        <i x="24" s="1"/>
        <i x="106" s="1"/>
        <i x="112" s="1"/>
        <i x="132" s="1"/>
        <i x="107" s="1"/>
        <i x="55" s="1"/>
        <i x="149" s="1"/>
        <i x="164" s="1"/>
        <i x="26" s="1"/>
        <i x="7" s="1"/>
        <i x="170" s="1"/>
        <i x="3" s="1"/>
        <i x="91" s="1"/>
        <i x="127" s="1"/>
        <i x="53" s="1"/>
        <i x="105" s="1"/>
        <i x="5" s="1"/>
        <i x="62" s="1"/>
        <i x="51" s="1"/>
        <i x="166" s="1"/>
        <i x="43" s="1"/>
        <i x="23" s="1"/>
        <i x="108" s="1"/>
        <i x="129" s="1"/>
        <i x="159" s="1"/>
        <i x="6" s="1"/>
        <i x="0" s="1"/>
        <i x="19" s="1"/>
        <i x="9" s="1"/>
        <i x="49" s="1"/>
        <i x="50" s="1"/>
        <i x="161" s="1"/>
        <i x="158" s="1"/>
        <i x="122" s="1"/>
        <i x="109" s="1"/>
        <i x="136" s="1"/>
        <i x="45" s="1"/>
        <i x="59" s="1"/>
        <i x="135" s="1"/>
        <i x="1" s="1"/>
        <i x="163" s="1"/>
        <i x="165" s="1"/>
        <i x="46" s="1"/>
        <i x="52" s="1"/>
        <i x="121" s="1"/>
        <i x="103" s="1"/>
        <i x="71" s="1"/>
        <i x="137" s="1"/>
        <i x="60" s="1"/>
        <i x="61" s="1"/>
        <i x="20" s="1"/>
        <i x="41" s="1"/>
        <i x="54" s="1"/>
        <i x="97" s="1"/>
        <i x="48" s="1"/>
        <i x="47" s="1"/>
        <i x="57" s="1"/>
        <i x="56" s="1"/>
        <i x="2" s="1"/>
        <i x="21" s="1"/>
        <i x="162" s="1"/>
        <i x="40" s="1"/>
        <i x="66" s="1"/>
        <i x="22" s="1"/>
        <i x="63" s="1"/>
        <i x="18" s="1"/>
        <i x="64" s="1"/>
        <i x="160" s="1"/>
        <i x="169" s="1"/>
        <i x="65" s="1"/>
        <i x="58" s="1"/>
        <i x="9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areWomen" xr10:uid="{6AEB6028-3D1A-429A-B381-F125CD08B4E5}" sourceName="ShareWomen">
  <pivotTables>
    <pivotTable tabId="1" name="PivotTable16"/>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5"/>
    <pivotTable tabId="1" name="PivotTable6"/>
    <pivotTable tabId="1" name="PivotTable7"/>
    <pivotTable tabId="1" name="PivotTable8"/>
    <pivotTable tabId="1" name="PivotTable9"/>
    <pivotTable tabId="1" name="PivotTable4"/>
    <pivotTable tabId="1" name="PivotTable15"/>
    <pivotTable tabId="1" name="PivotTable17"/>
    <pivotTable tabId="1" name="PivotTable18"/>
    <pivotTable tabId="1" name="PivotTable19"/>
    <pivotTable tabId="1" name="PivotTable20"/>
  </pivotTables>
  <data>
    <tabular pivotCacheId="2087452835">
      <items count="173">
        <i x="66" s="1"/>
        <i x="81" s="1"/>
        <i x="61" s="1"/>
        <i x="56" s="1"/>
        <i x="57" s="1"/>
        <i x="44" s="1"/>
        <i x="59" s="1"/>
        <i x="105" s="1"/>
        <i x="121" s="1"/>
        <i x="54" s="1"/>
        <i x="58" s="1"/>
        <i x="55" s="1"/>
        <i x="62" s="1"/>
        <i x="150" s="1"/>
        <i x="22" s="1"/>
        <i x="49" s="1"/>
        <i x="60" s="1"/>
        <i x="41" s="1"/>
        <i x="47" s="1"/>
        <i x="170" s="1"/>
        <i x="4" s="1"/>
        <i x="46" s="1"/>
        <i x="136" s="1"/>
        <i x="71" s="1"/>
        <i x="90" s="1"/>
        <i x="163" s="1"/>
        <i x="123" s="1"/>
        <i x="40" s="1"/>
        <i x="159" s="1"/>
        <i x="19" s="1"/>
        <i x="169" s="1"/>
        <i x="92" s="1"/>
        <i x="167" s="1"/>
        <i x="53" s="1"/>
        <i x="23" s="1"/>
        <i x="13" s="1"/>
        <i x="111" s="1"/>
        <i x="42" s="1"/>
        <i x="137" s="1"/>
        <i x="11" s="1"/>
        <i x="162" s="1"/>
        <i x="51" s="1"/>
        <i x="63" s="1"/>
        <i x="73" s="1"/>
        <i x="127" s="1"/>
        <i x="45" s="1"/>
        <i x="135" s="1"/>
        <i x="52" s="1"/>
        <i x="43" s="1"/>
        <i x="165" s="1"/>
        <i x="34" s="1"/>
        <i x="142" s="1"/>
        <i x="65" s="1"/>
        <i x="164" s="1"/>
        <i x="24" s="1"/>
        <i x="146" s="1"/>
        <i x="101" s="1"/>
        <i x="158" s="1"/>
        <i x="32" s="1"/>
        <i x="103" s="1"/>
        <i x="93" s="1"/>
        <i x="113" s="1"/>
        <i x="151" s="1"/>
        <i x="118" s="1"/>
        <i x="48" s="1"/>
        <i x="104" s="1"/>
        <i x="140" s="1"/>
        <i x="110" s="1"/>
        <i x="26" s="1"/>
        <i x="154" s="1"/>
        <i x="107" s="1"/>
        <i x="130" s="1"/>
        <i x="88" s="1"/>
        <i x="122" s="1"/>
        <i x="132" s="1"/>
        <i x="94" s="1"/>
        <i x="126" s="1"/>
        <i x="106" s="1"/>
        <i x="30" s="1"/>
        <i x="95" s="1"/>
        <i x="79" s="1"/>
        <i x="0" s="1"/>
        <i x="85" s="1"/>
        <i x="21" s="1"/>
        <i x="80" s="1"/>
        <i x="133" s="1"/>
        <i x="160" s="1"/>
        <i x="134" s="1"/>
        <i x="152" s="1"/>
        <i x="50" s="1"/>
        <i x="10" s="1"/>
        <i x="27" s="1"/>
        <i x="89" s="1"/>
        <i x="37" s="1"/>
        <i x="20" s="1"/>
        <i x="161" s="1"/>
        <i x="8" s="1"/>
        <i x="145" s="1"/>
        <i x="2" s="1"/>
        <i x="72" s="1"/>
        <i x="1" s="1"/>
        <i x="33" s="1"/>
        <i x="78" s="1"/>
        <i x="5" s="1"/>
        <i x="84" s="1"/>
        <i x="129" s="1"/>
        <i x="139" s="1"/>
        <i x="172" s="1"/>
        <i x="131" s="1"/>
        <i x="87" s="1"/>
        <i x="96" s="1"/>
        <i x="155" s="1"/>
        <i x="83" s="1"/>
        <i x="82" s="1"/>
        <i x="171" s="1"/>
        <i x="156" s="1"/>
        <i x="74" s="1"/>
        <i x="138" s="1"/>
        <i x="112" s="1"/>
        <i x="166" s="1"/>
        <i x="16" s="1"/>
        <i x="100" s="1"/>
        <i x="38" s="1"/>
        <i x="143" s="1"/>
        <i x="109" s="1"/>
        <i x="69" s="1"/>
        <i x="9" s="1"/>
        <i x="141" s="1"/>
        <i x="75" s="1"/>
        <i x="157" s="1"/>
        <i x="148" s="1"/>
        <i x="18" s="1"/>
        <i x="39" s="1"/>
        <i x="14" s="1"/>
        <i x="7" s="1"/>
        <i x="99" s="1"/>
        <i x="68" s="1"/>
        <i x="102" s="1"/>
        <i x="35" s="1"/>
        <i x="168" s="1"/>
        <i x="76" s="1"/>
        <i x="119" s="1"/>
        <i x="64" s="1"/>
        <i x="70" s="1"/>
        <i x="91" s="1"/>
        <i x="12" s="1"/>
        <i x="67" s="1"/>
        <i x="6" s="1"/>
        <i x="149" s="1"/>
        <i x="147" s="1"/>
        <i x="114" s="1"/>
        <i x="29" s="1"/>
        <i x="117" s="1"/>
        <i x="36" s="1"/>
        <i x="116" s="1"/>
        <i x="125" s="1"/>
        <i x="25" s="1"/>
        <i x="115" s="1"/>
        <i x="144" s="1"/>
        <i x="98" s="1"/>
        <i x="17" s="1"/>
        <i x="15" s="1"/>
        <i x="77" s="1"/>
        <i x="108" s="1"/>
        <i x="153" s="1"/>
        <i x="124" s="1"/>
        <i x="120" s="1"/>
        <i x="86" s="1"/>
        <i x="3" s="1"/>
        <i x="28" s="1"/>
        <i x="97" s="1"/>
        <i x="31" s="1"/>
        <i x="128"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w_wage_jobs" xr10:uid="{4D40F95F-BFEF-4ED3-929F-D9FD9C042B74}" sourceName="Low_wage_jobs">
  <pivotTables>
    <pivotTable tabId="1" name="PivotTable16"/>
    <pivotTable tabId="1" name="PivotTable1"/>
    <pivotTable tabId="1" name="PivotTable10"/>
    <pivotTable tabId="1" name="PivotTable11"/>
    <pivotTable tabId="1" name="PivotTable12"/>
    <pivotTable tabId="1" name="PivotTable13"/>
    <pivotTable tabId="1" name="PivotTable14"/>
    <pivotTable tabId="1" name="PivotTable15"/>
    <pivotTable tabId="1" name="PivotTable17"/>
    <pivotTable tabId="1" name="PivotTable18"/>
    <pivotTable tabId="1" name="PivotTable19"/>
    <pivotTable tabId="1" name="PivotTable2"/>
    <pivotTable tabId="1" name="PivotTable20"/>
    <pivotTable tabId="1" name="PivotTable3"/>
    <pivotTable tabId="1" name="PivotTable4"/>
    <pivotTable tabId="1" name="PivotTable5"/>
    <pivotTable tabId="1" name="PivotTable6"/>
    <pivotTable tabId="1" name="PivotTable7"/>
    <pivotTable tabId="1" name="PivotTable8"/>
    <pivotTable tabId="1" name="PivotTable9"/>
  </pivotTables>
  <data>
    <tabular pivotCacheId="2087452835">
      <items count="166">
        <i x="6" s="1"/>
        <i x="92" s="1"/>
        <i x="7" s="1"/>
        <i x="113" s="1"/>
        <i x="49" s="1"/>
        <i x="53" s="1"/>
        <i x="76" s="1"/>
        <i x="51" s="1"/>
        <i x="106" s="1"/>
        <i x="110" s="1"/>
        <i x="81" s="1"/>
        <i x="2" s="1"/>
        <i x="26" s="1"/>
        <i x="108" s="1"/>
        <i x="93" s="1"/>
        <i x="42" s="1"/>
        <i x="57" s="1"/>
        <i x="67" s="1"/>
        <i x="104" s="1"/>
        <i x="73" s="1"/>
        <i x="55" s="1"/>
        <i x="79" s="1"/>
        <i x="99" s="1"/>
        <i x="103" s="1"/>
        <i x="100" s="1"/>
        <i x="54" s="1"/>
        <i x="58" s="1"/>
        <i x="153" s="1"/>
        <i x="48" s="1"/>
        <i x="19" s="1"/>
        <i x="98" s="1"/>
        <i x="112" s="1"/>
        <i x="155" s="1"/>
        <i x="165" s="1"/>
        <i x="22" s="1"/>
        <i x="9" s="1"/>
        <i x="117" s="1"/>
        <i x="88" s="1"/>
        <i x="23" s="1"/>
        <i x="87" s="1"/>
        <i x="56" s="1"/>
        <i x="40" s="1"/>
        <i x="62" s="1"/>
        <i x="61" s="1"/>
        <i x="85" s="1"/>
        <i x="60" s="1"/>
        <i x="4" s="1"/>
        <i x="116" s="1"/>
        <i x="41" s="1"/>
        <i x="130" s="1"/>
        <i x="128" s="1"/>
        <i x="31" s="1"/>
        <i x="21" s="1"/>
        <i x="111" s="1"/>
        <i x="50" s="1"/>
        <i x="38" s="1"/>
        <i x="59" s="1"/>
        <i x="129" s="1"/>
        <i x="162" s="1"/>
        <i x="35" s="1"/>
        <i x="118" s="1"/>
        <i x="83" s="1"/>
        <i x="139" s="1"/>
        <i x="28" s="1"/>
        <i x="43" s="1"/>
        <i x="0" s="1"/>
        <i x="84" s="1"/>
        <i x="102" s="1"/>
        <i x="44" s="1"/>
        <i x="78" s="1"/>
        <i x="46" s="1"/>
        <i x="144" s="1"/>
        <i x="89" s="1"/>
        <i x="65" s="1"/>
        <i x="147" s="1"/>
        <i x="72" s="1"/>
        <i x="145" s="1"/>
        <i x="77" s="1"/>
        <i x="33" s="1"/>
        <i x="5" s="1"/>
        <i x="80" s="1"/>
        <i x="143" s="1"/>
        <i x="156" s="1"/>
        <i x="68" s="1"/>
        <i x="1" s="1"/>
        <i x="32" s="1"/>
        <i x="142" s="1"/>
        <i x="10" s="1"/>
        <i x="150" s="1"/>
        <i x="94" s="1"/>
        <i x="120" s="1"/>
        <i x="114" s="1"/>
        <i x="18" s="1"/>
        <i x="163" s="1"/>
        <i x="34" s="1"/>
        <i x="105" s="1"/>
        <i x="149" s="1"/>
        <i x="123" s="1"/>
        <i x="124" s="1"/>
        <i x="159" s="1"/>
        <i x="29" s="1"/>
        <i x="63" s="1"/>
        <i x="3" s="1"/>
        <i x="82" s="1"/>
        <i x="91" s="1"/>
        <i x="17" s="1"/>
        <i x="125" s="1"/>
        <i x="37" s="1"/>
        <i x="36" s="1"/>
        <i x="134" s="1"/>
        <i x="30" s="1"/>
        <i x="45" s="1"/>
        <i x="75" s="1"/>
        <i x="160" s="1"/>
        <i x="24" s="1"/>
        <i x="90" s="1"/>
        <i x="47" s="1"/>
        <i x="8" s="1"/>
        <i x="39" s="1"/>
        <i x="52" s="1"/>
        <i x="97" s="1"/>
        <i x="137" s="1"/>
        <i x="70" s="1"/>
        <i x="138" s="1"/>
        <i x="12" s="1"/>
        <i x="140" s="1"/>
        <i x="11" s="1"/>
        <i x="101" s="1"/>
        <i x="119" s="1"/>
        <i x="148" s="1"/>
        <i x="86" s="1"/>
        <i x="141" s="1"/>
        <i x="20" s="1"/>
        <i x="66" s="1"/>
        <i x="64" s="1"/>
        <i x="107" s="1"/>
        <i x="136" s="1"/>
        <i x="146" s="1"/>
        <i x="15" s="1"/>
        <i x="122" s="1"/>
        <i x="16" s="1"/>
        <i x="96" s="1"/>
        <i x="14" s="1"/>
        <i x="71" s="1"/>
        <i x="161" s="1"/>
        <i x="133" s="1"/>
        <i x="158" s="1"/>
        <i x="121" s="1"/>
        <i x="152" s="1"/>
        <i x="132" s="1"/>
        <i x="25" s="1"/>
        <i x="27" s="1"/>
        <i x="131" s="1"/>
        <i x="127" s="1"/>
        <i x="135" s="1"/>
        <i x="95" s="1"/>
        <i x="164" s="1"/>
        <i x="115" s="1"/>
        <i x="126" s="1"/>
        <i x="69" s="1"/>
        <i x="151" s="1"/>
        <i x="13" s="1"/>
        <i x="157" s="1"/>
        <i x="74" s="1"/>
        <i x="154" s="1"/>
        <i x="109"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premium" xr10:uid="{5ED11402-F37A-4E93-9F4A-BE04CDF452FA}" sourceName="salary_premium">
  <pivotTables>
    <pivotTable tabId="1" name="PivotTable16"/>
    <pivotTable tabId="1" name="PivotTable1"/>
    <pivotTable tabId="1" name="PivotTable10"/>
    <pivotTable tabId="1" name="PivotTable11"/>
    <pivotTable tabId="1" name="PivotTable12"/>
    <pivotTable tabId="1" name="PivotTable13"/>
    <pivotTable tabId="1" name="PivotTable14"/>
    <pivotTable tabId="1" name="PivotTable15"/>
    <pivotTable tabId="1" name="PivotTable17"/>
    <pivotTable tabId="1" name="PivotTable18"/>
    <pivotTable tabId="1" name="PivotTable19"/>
    <pivotTable tabId="1" name="PivotTable2"/>
    <pivotTable tabId="1" name="PivotTable20"/>
    <pivotTable tabId="1" name="PivotTable3"/>
    <pivotTable tabId="1" name="PivotTable4"/>
    <pivotTable tabId="1" name="PivotTable5"/>
    <pivotTable tabId="1" name="PivotTable6"/>
    <pivotTable tabId="1" name="PivotTable7"/>
    <pivotTable tabId="1" name="PivotTable8"/>
    <pivotTable tabId="1" name="PivotTable9"/>
  </pivotTables>
  <data>
    <tabular pivotCacheId="2087452835">
      <items count="49">
        <i x="21" s="1"/>
        <i x="6" s="1"/>
        <i x="5" s="1"/>
        <i x="25" s="1"/>
        <i x="44" s="1"/>
        <i x="12" s="1"/>
        <i x="17" s="1"/>
        <i x="37" s="1"/>
        <i x="11" s="1"/>
        <i x="9" s="1"/>
        <i x="4" s="1"/>
        <i x="24" s="1"/>
        <i x="26" s="1"/>
        <i x="20" s="1"/>
        <i x="39" s="1"/>
        <i x="1" s="1"/>
        <i x="42" s="1"/>
        <i x="7" s="1"/>
        <i x="32" s="1"/>
        <i x="40" s="1"/>
        <i x="14" s="1"/>
        <i x="28" s="1"/>
        <i x="19" s="1"/>
        <i x="13" s="1"/>
        <i x="18" s="1"/>
        <i x="2" s="1"/>
        <i x="0" s="1"/>
        <i x="45" s="1"/>
        <i x="8" s="1"/>
        <i x="41" s="1"/>
        <i x="22" s="1"/>
        <i x="15" s="1"/>
        <i x="16" s="1"/>
        <i x="3" s="1"/>
        <i x="46" s="1"/>
        <i x="36" s="1"/>
        <i x="10" s="1"/>
        <i x="29" s="1"/>
        <i x="38" s="1"/>
        <i x="48" s="1"/>
        <i x="23" s="1"/>
        <i x="27" s="1"/>
        <i x="47" s="1"/>
        <i x="31" s="1"/>
        <i x="33" s="1"/>
        <i x="34" s="1"/>
        <i x="30" s="1"/>
        <i x="35" s="1"/>
        <i x="4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ary_spread" xr10:uid="{AF95D216-8E2B-495D-B026-76FE8A04BAE1}" cache="Slicer_salary_spread" caption="salary_spread" rowHeight="234950"/>
  <slicer name="Major 1" xr10:uid="{0F2350CE-AE2F-4D76-9C98-18DB0D00602B}" cache="Slicer_Major" caption="Major" rowHeight="234950"/>
  <slicer name="Major_category 1" xr10:uid="{BA71BFEA-1F01-4860-A4D0-5B7FE4D16A82}" cache="Slicer_Major_category" caption="Major_category" rowHeight="234950"/>
  <slicer name="Unemployment_rate" xr10:uid="{48504131-ECA4-4777-BC05-A398728CDBAC}" cache="Slicer_Unemployment_rate" caption="Unemployment_rate" rowHeight="234950"/>
  <slicer name="Median" xr10:uid="{6EAE0019-5823-450A-B18E-D62AE9D3B4C0}" cache="Slicer_Median" caption="Median" rowHeight="234950"/>
  <slicer name="employment_rate" xr10:uid="{BF34CDDB-6B9F-4774-BE88-E81A2B724496}" cache="Slicer_employment_rate" caption="employment_rate" rowHeight="234950"/>
  <slicer name="full_time_share" xr10:uid="{50CDEC7C-8BB3-4574-9CC3-E396DA38C052}" cache="Slicer_full_time_share" caption="full_time_share" rowHeight="234950"/>
  <slicer name="ShareWomen 1" xr10:uid="{C3C3AA80-310B-434A-ABE2-4666A4B6B28B}" cache="Slicer_ShareWomen" caption="ShareWomen" rowHeight="234950"/>
  <slicer name="Low_wage_jobs" xr10:uid="{A895AAB8-C7DB-41C5-BAC6-67779AEC162F}" cache="Slicer_Low_wage_jobs" caption="Low_wage_jobs" rowHeight="234950"/>
  <slicer name="salary_premium" xr10:uid="{CF6BF169-FB0E-4201-B80E-1C56913FFE1C}" cache="Slicer_salary_premium" caption="salary_premium"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4661C1-C42B-4476-B6F3-7B2F7592919F}" name="college_majors_merged" displayName="college_majors_merged" ref="A1:Y174" tableType="queryTable" totalsRowShown="0">
  <autoFilter ref="A1:Y174" xr:uid="{DC4661C1-C42B-4476-B6F3-7B2F7592919F}"/>
  <tableColumns count="25">
    <tableColumn id="1" xr3:uid="{34408688-3659-4380-9AA5-85D05D638E7D}" uniqueName="1" name="Major_code" queryTableFieldId="1"/>
    <tableColumn id="2" xr3:uid="{38B2CA08-F83D-408E-80C5-B29A74A94062}" uniqueName="2" name="Major" queryTableFieldId="2" dataDxfId="2"/>
    <tableColumn id="3" xr3:uid="{E2058004-38A6-4090-A117-EFF6921BB994}" uniqueName="3" name="Major_category" queryTableFieldId="3" dataDxfId="1"/>
    <tableColumn id="4" xr3:uid="{31A8A483-76CE-4B77-963A-1A56D34236F2}" uniqueName="4" name="Total_ws" queryTableFieldId="4"/>
    <tableColumn id="5" xr3:uid="{999E199F-9581-4E9A-AB51-0F6FCE80CE64}" uniqueName="5" name="Employed" queryTableFieldId="5"/>
    <tableColumn id="6" xr3:uid="{E28EB738-9862-4E98-BC4A-97177950C395}" uniqueName="6" name="Employed_full_time_year_round" queryTableFieldId="6"/>
    <tableColumn id="7" xr3:uid="{E9636391-BA31-423E-9B05-0332F8A025A6}" uniqueName="7" name="Unemployed" queryTableFieldId="7"/>
    <tableColumn id="8" xr3:uid="{4FCB4748-7C9A-4CFC-AF3F-6F838DA3B98A}" uniqueName="8" name="Unemployment_rate" queryTableFieldId="8"/>
    <tableColumn id="9" xr3:uid="{FE144CC8-1271-4E61-A4E9-087C3745EED2}" uniqueName="9" name="Median" queryTableFieldId="9"/>
    <tableColumn id="10" xr3:uid="{9B0F327C-5C43-414C-944B-B0433F9BEC10}" uniqueName="10" name="P25th" queryTableFieldId="10"/>
    <tableColumn id="11" xr3:uid="{C94CB47E-799D-4D2F-A457-F7F822DF0164}" uniqueName="11" name="P75th" queryTableFieldId="11"/>
    <tableColumn id="12" xr3:uid="{647FCC1D-DAEB-4A82-A45D-F8D33A1FBD2D}" uniqueName="12" name="employment_rate" queryTableFieldId="12"/>
    <tableColumn id="13" xr3:uid="{90D35770-157D-4EF8-9D09-04877B5E2AE3}" uniqueName="13" name="full_time_share" queryTableFieldId="13"/>
    <tableColumn id="14" xr3:uid="{0E51591D-5052-4FAB-B1FD-1F39F64C7D26}" uniqueName="14" name="salary_spread" queryTableFieldId="14"/>
    <tableColumn id="15" xr3:uid="{A872B847-12E3-4253-BAF5-BACA85A778D6}" uniqueName="15" name="ShareWomen" queryTableFieldId="15"/>
    <tableColumn id="16" xr3:uid="{FADC926B-B03D-457C-80D5-B2356AB6DCFA}" uniqueName="16" name="College_jobs" queryTableFieldId="16"/>
    <tableColumn id="17" xr3:uid="{4E07022F-F18F-4CD8-8A6C-AFC4202E95A3}" uniqueName="17" name="Non_college_jobs" queryTableFieldId="17"/>
    <tableColumn id="18" xr3:uid="{1FD22BEC-51B6-41B2-A0AD-C4E68B82AD10}" uniqueName="18" name="Low_wage_jobs" queryTableFieldId="18"/>
    <tableColumn id="19" xr3:uid="{CABE1C53-C1D3-4E2A-BC17-50B8AF6A8A0E}" uniqueName="19" name="Grad_median" queryTableFieldId="19"/>
    <tableColumn id="20" xr3:uid="{4BA75075-9823-4CE4-A6F6-0628941D7203}" uniqueName="20" name="Nongrad_median" queryTableFieldId="20"/>
    <tableColumn id="21" xr3:uid="{5DF32AB8-62CB-4063-BB14-A5B8512AFBDD}" uniqueName="21" name="salary_premium" queryTableFieldId="21"/>
    <tableColumn id="22" xr3:uid="{61250E1D-2C8F-460E-9DFB-6FDDA9EC6467}" uniqueName="22" name="Total_ws_men" queryTableFieldId="22"/>
    <tableColumn id="23" xr3:uid="{A8D07CF6-5C00-4E78-9D8F-EB9F7BA7D6C8}" uniqueName="23" name="Men" queryTableFieldId="23"/>
    <tableColumn id="24" xr3:uid="{6D2C5661-72DD-4564-A5C1-68F65D309576}" uniqueName="24" name="Women" queryTableFieldId="24"/>
    <tableColumn id="25" xr3:uid="{2EA3F9C7-6C0A-47E8-BE88-90E75F477A9E}" uniqueName="25" name="Major_Category.1" queryTableFieldId="2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79675-DAA5-402D-8030-4E900D15D2EB}">
  <dimension ref="A1:Y174"/>
  <sheetViews>
    <sheetView topLeftCell="J1" workbookViewId="0">
      <selection activeCell="R166" sqref="A2:Y174"/>
    </sheetView>
  </sheetViews>
  <sheetFormatPr defaultRowHeight="14.4" x14ac:dyDescent="0.3"/>
  <cols>
    <col min="1" max="1" width="13.44140625" bestFit="1" customWidth="1"/>
    <col min="2" max="2" width="67.44140625" bestFit="1" customWidth="1"/>
    <col min="3" max="3" width="30.21875" bestFit="1" customWidth="1"/>
    <col min="4" max="4" width="10.6640625" bestFit="1" customWidth="1"/>
    <col min="5" max="5" width="11.6640625" bestFit="1" customWidth="1"/>
    <col min="6" max="6" width="31.33203125" bestFit="1" customWidth="1"/>
    <col min="7" max="7" width="14.109375" bestFit="1" customWidth="1"/>
    <col min="8" max="8" width="21" bestFit="1" customWidth="1"/>
    <col min="9" max="9" width="9.6640625" bestFit="1" customWidth="1"/>
    <col min="10" max="11" width="8.109375" bestFit="1" customWidth="1"/>
    <col min="12" max="12" width="18.44140625" bestFit="1" customWidth="1"/>
    <col min="13" max="13" width="16.33203125" bestFit="1" customWidth="1"/>
    <col min="14" max="14" width="14.77734375" bestFit="1" customWidth="1"/>
    <col min="15" max="15" width="14.6640625" bestFit="1" customWidth="1"/>
    <col min="16" max="16" width="13.88671875" bestFit="1" customWidth="1"/>
    <col min="17" max="17" width="18.33203125" bestFit="1" customWidth="1"/>
    <col min="18" max="18" width="16.77734375" bestFit="1" customWidth="1"/>
    <col min="19" max="19" width="14.5546875" bestFit="1" customWidth="1"/>
    <col min="20" max="20" width="18" bestFit="1" customWidth="1"/>
    <col min="21" max="21" width="16.88671875" bestFit="1" customWidth="1"/>
    <col min="22" max="22" width="15.5546875" bestFit="1" customWidth="1"/>
    <col min="23" max="23" width="7.109375" bestFit="1" customWidth="1"/>
    <col min="24" max="24" width="9.88671875" bestFit="1" customWidth="1"/>
    <col min="25" max="25" width="30.2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1100</v>
      </c>
      <c r="B2" t="s">
        <v>25</v>
      </c>
      <c r="C2" t="s">
        <v>26</v>
      </c>
      <c r="D2">
        <v>128148</v>
      </c>
      <c r="E2">
        <v>90245</v>
      </c>
      <c r="F2">
        <v>74078</v>
      </c>
      <c r="G2">
        <v>2423</v>
      </c>
      <c r="H2">
        <v>2.6147106E-2</v>
      </c>
      <c r="I2">
        <v>50000</v>
      </c>
      <c r="J2">
        <v>34000</v>
      </c>
      <c r="K2">
        <v>80000</v>
      </c>
      <c r="L2">
        <v>0.70422480257202613</v>
      </c>
      <c r="M2">
        <v>0.82085434096071808</v>
      </c>
      <c r="N2">
        <v>46000</v>
      </c>
      <c r="O2">
        <v>0.51554332899999999</v>
      </c>
      <c r="P2">
        <v>2418</v>
      </c>
      <c r="Q2">
        <v>4717</v>
      </c>
      <c r="R2">
        <v>839</v>
      </c>
      <c r="S2">
        <v>68000</v>
      </c>
      <c r="T2">
        <v>50000</v>
      </c>
      <c r="U2">
        <v>18000</v>
      </c>
      <c r="Y2" t="s">
        <v>26</v>
      </c>
    </row>
    <row r="3" spans="1:25" x14ac:dyDescent="0.3">
      <c r="A3">
        <v>1101</v>
      </c>
      <c r="B3" t="s">
        <v>27</v>
      </c>
      <c r="C3" t="s">
        <v>26</v>
      </c>
      <c r="D3">
        <v>95326</v>
      </c>
      <c r="E3">
        <v>76865</v>
      </c>
      <c r="F3">
        <v>64240</v>
      </c>
      <c r="G3">
        <v>2266</v>
      </c>
      <c r="H3">
        <v>2.8636058999999998E-2</v>
      </c>
      <c r="I3">
        <v>54000</v>
      </c>
      <c r="J3">
        <v>36000</v>
      </c>
      <c r="K3">
        <v>80000</v>
      </c>
      <c r="L3">
        <v>0.80633824979543878</v>
      </c>
      <c r="M3">
        <v>0.83575099199895919</v>
      </c>
      <c r="N3">
        <v>44000</v>
      </c>
      <c r="O3">
        <v>0.59420764999999998</v>
      </c>
      <c r="P3">
        <v>1925</v>
      </c>
      <c r="Q3">
        <v>6221</v>
      </c>
      <c r="R3">
        <v>1362</v>
      </c>
      <c r="S3">
        <v>67000</v>
      </c>
      <c r="T3">
        <v>55000</v>
      </c>
      <c r="U3">
        <v>12000</v>
      </c>
      <c r="Y3" t="s">
        <v>26</v>
      </c>
    </row>
    <row r="4" spans="1:25" x14ac:dyDescent="0.3">
      <c r="A4">
        <v>1102</v>
      </c>
      <c r="B4" t="s">
        <v>28</v>
      </c>
      <c r="C4" t="s">
        <v>26</v>
      </c>
      <c r="D4">
        <v>33955</v>
      </c>
      <c r="E4">
        <v>26321</v>
      </c>
      <c r="F4">
        <v>22810</v>
      </c>
      <c r="G4">
        <v>821</v>
      </c>
      <c r="H4">
        <v>3.0248324E-2</v>
      </c>
      <c r="I4">
        <v>63000</v>
      </c>
      <c r="J4">
        <v>40000</v>
      </c>
      <c r="K4">
        <v>98000</v>
      </c>
      <c r="L4">
        <v>0.77517302311883374</v>
      </c>
      <c r="M4">
        <v>0.86660841153451618</v>
      </c>
      <c r="N4">
        <v>58000</v>
      </c>
      <c r="O4">
        <v>0.58971190200000001</v>
      </c>
      <c r="P4">
        <v>535</v>
      </c>
      <c r="Q4">
        <v>893</v>
      </c>
      <c r="R4">
        <v>94</v>
      </c>
      <c r="S4">
        <v>80000</v>
      </c>
      <c r="T4">
        <v>63000</v>
      </c>
      <c r="U4">
        <v>17000</v>
      </c>
      <c r="Y4" t="s">
        <v>26</v>
      </c>
    </row>
    <row r="5" spans="1:25" x14ac:dyDescent="0.3">
      <c r="A5">
        <v>1103</v>
      </c>
      <c r="B5" t="s">
        <v>29</v>
      </c>
      <c r="C5" t="s">
        <v>26</v>
      </c>
      <c r="D5">
        <v>103549</v>
      </c>
      <c r="E5">
        <v>81177</v>
      </c>
      <c r="F5">
        <v>64937</v>
      </c>
      <c r="G5">
        <v>3619</v>
      </c>
      <c r="H5">
        <v>4.2678899999999999E-2</v>
      </c>
      <c r="I5">
        <v>46000</v>
      </c>
      <c r="J5">
        <v>30000</v>
      </c>
      <c r="K5">
        <v>72000</v>
      </c>
      <c r="L5">
        <v>0.78394769625974181</v>
      </c>
      <c r="M5">
        <v>0.79994333370289616</v>
      </c>
      <c r="N5">
        <v>42000</v>
      </c>
      <c r="O5">
        <v>0.91093257000000005</v>
      </c>
      <c r="P5">
        <v>5443</v>
      </c>
      <c r="Q5">
        <v>9571</v>
      </c>
      <c r="R5">
        <v>2125</v>
      </c>
      <c r="S5">
        <v>70300</v>
      </c>
      <c r="T5">
        <v>48000</v>
      </c>
      <c r="U5">
        <v>22300</v>
      </c>
      <c r="Y5" t="s">
        <v>26</v>
      </c>
    </row>
    <row r="6" spans="1:25" x14ac:dyDescent="0.3">
      <c r="A6">
        <v>1104</v>
      </c>
      <c r="B6" t="s">
        <v>30</v>
      </c>
      <c r="C6" t="s">
        <v>26</v>
      </c>
      <c r="D6">
        <v>24280</v>
      </c>
      <c r="E6">
        <v>17281</v>
      </c>
      <c r="F6">
        <v>12722</v>
      </c>
      <c r="G6">
        <v>894</v>
      </c>
      <c r="H6">
        <v>4.9188445999999997E-2</v>
      </c>
      <c r="I6">
        <v>62000</v>
      </c>
      <c r="J6">
        <v>38500</v>
      </c>
      <c r="K6">
        <v>90000</v>
      </c>
      <c r="L6">
        <v>0.71173805601317952</v>
      </c>
      <c r="M6">
        <v>0.73618424859672471</v>
      </c>
      <c r="N6">
        <v>51500</v>
      </c>
      <c r="O6">
        <v>0.222695002</v>
      </c>
      <c r="P6">
        <v>1183</v>
      </c>
      <c r="Q6">
        <v>1274</v>
      </c>
      <c r="R6">
        <v>485</v>
      </c>
      <c r="S6">
        <v>72000</v>
      </c>
      <c r="T6">
        <v>63000</v>
      </c>
      <c r="U6">
        <v>9000</v>
      </c>
      <c r="Y6" t="s">
        <v>26</v>
      </c>
    </row>
    <row r="7" spans="1:25" x14ac:dyDescent="0.3">
      <c r="A7">
        <v>1105</v>
      </c>
      <c r="B7" t="s">
        <v>31</v>
      </c>
      <c r="C7" t="s">
        <v>26</v>
      </c>
      <c r="D7">
        <v>79409</v>
      </c>
      <c r="E7">
        <v>63043</v>
      </c>
      <c r="F7">
        <v>51077</v>
      </c>
      <c r="G7">
        <v>2070</v>
      </c>
      <c r="H7">
        <v>3.1790886999999997E-2</v>
      </c>
      <c r="I7">
        <v>50000</v>
      </c>
      <c r="J7">
        <v>35000</v>
      </c>
      <c r="K7">
        <v>75000</v>
      </c>
      <c r="L7">
        <v>0.79390245438174512</v>
      </c>
      <c r="M7">
        <v>0.81019304284377325</v>
      </c>
      <c r="N7">
        <v>40000</v>
      </c>
      <c r="O7">
        <v>0.606888545</v>
      </c>
      <c r="P7">
        <v>2089</v>
      </c>
      <c r="Q7">
        <v>3545</v>
      </c>
      <c r="R7">
        <v>1231</v>
      </c>
      <c r="S7">
        <v>67000</v>
      </c>
      <c r="T7">
        <v>50000</v>
      </c>
      <c r="U7">
        <v>17000</v>
      </c>
      <c r="Y7" t="s">
        <v>26</v>
      </c>
    </row>
    <row r="8" spans="1:25" x14ac:dyDescent="0.3">
      <c r="A8">
        <v>1106</v>
      </c>
      <c r="B8" t="s">
        <v>32</v>
      </c>
      <c r="C8" t="s">
        <v>26</v>
      </c>
      <c r="D8">
        <v>6586</v>
      </c>
      <c r="E8">
        <v>4926</v>
      </c>
      <c r="F8">
        <v>4042</v>
      </c>
      <c r="G8">
        <v>264</v>
      </c>
      <c r="H8">
        <v>5.0867052000000003E-2</v>
      </c>
      <c r="I8">
        <v>63000</v>
      </c>
      <c r="J8">
        <v>39400</v>
      </c>
      <c r="K8">
        <v>88000</v>
      </c>
      <c r="L8">
        <v>0.74795019738839963</v>
      </c>
      <c r="M8">
        <v>0.82054405196914337</v>
      </c>
      <c r="N8">
        <v>48600</v>
      </c>
      <c r="O8">
        <v>0.76442652799999999</v>
      </c>
      <c r="P8">
        <v>355</v>
      </c>
      <c r="Q8">
        <v>144</v>
      </c>
      <c r="R8">
        <v>0</v>
      </c>
      <c r="S8">
        <v>65000</v>
      </c>
      <c r="T8">
        <v>65000</v>
      </c>
      <c r="U8">
        <v>0</v>
      </c>
      <c r="Y8" t="s">
        <v>26</v>
      </c>
    </row>
    <row r="9" spans="1:25" x14ac:dyDescent="0.3">
      <c r="A9">
        <v>1199</v>
      </c>
      <c r="B9" t="s">
        <v>33</v>
      </c>
      <c r="C9" t="s">
        <v>26</v>
      </c>
      <c r="D9">
        <v>8549</v>
      </c>
      <c r="E9">
        <v>6392</v>
      </c>
      <c r="F9">
        <v>5074</v>
      </c>
      <c r="G9">
        <v>261</v>
      </c>
      <c r="H9">
        <v>3.9230422000000001E-2</v>
      </c>
      <c r="I9">
        <v>52000</v>
      </c>
      <c r="J9">
        <v>35000</v>
      </c>
      <c r="K9">
        <v>75000</v>
      </c>
      <c r="L9">
        <v>0.74768978827933097</v>
      </c>
      <c r="M9">
        <v>0.79380475594493116</v>
      </c>
      <c r="N9">
        <v>40000</v>
      </c>
      <c r="O9">
        <v>0.71997408299999999</v>
      </c>
      <c r="P9">
        <v>483</v>
      </c>
      <c r="Q9">
        <v>626</v>
      </c>
      <c r="R9">
        <v>31</v>
      </c>
      <c r="S9">
        <v>54000</v>
      </c>
      <c r="T9">
        <v>55000</v>
      </c>
      <c r="U9">
        <v>-1000</v>
      </c>
      <c r="Y9" t="s">
        <v>26</v>
      </c>
    </row>
    <row r="10" spans="1:25" x14ac:dyDescent="0.3">
      <c r="A10">
        <v>1301</v>
      </c>
      <c r="B10" t="s">
        <v>34</v>
      </c>
      <c r="C10" t="s">
        <v>35</v>
      </c>
      <c r="D10">
        <v>106106</v>
      </c>
      <c r="E10">
        <v>87602</v>
      </c>
      <c r="F10">
        <v>65238</v>
      </c>
      <c r="G10">
        <v>4736</v>
      </c>
      <c r="H10">
        <v>5.1289827000000003E-2</v>
      </c>
      <c r="I10">
        <v>52000</v>
      </c>
      <c r="J10">
        <v>38000</v>
      </c>
      <c r="K10">
        <v>75000</v>
      </c>
      <c r="L10">
        <v>0.82560835391024068</v>
      </c>
      <c r="M10">
        <v>0.74470902490810709</v>
      </c>
      <c r="N10">
        <v>37000</v>
      </c>
      <c r="O10">
        <v>0.58455613299999998</v>
      </c>
      <c r="P10">
        <v>8149</v>
      </c>
      <c r="Q10">
        <v>10076</v>
      </c>
      <c r="R10">
        <v>3175</v>
      </c>
      <c r="S10">
        <v>68000</v>
      </c>
      <c r="T10">
        <v>55000</v>
      </c>
      <c r="U10">
        <v>13000</v>
      </c>
      <c r="V10">
        <v>25965</v>
      </c>
      <c r="W10">
        <v>10787</v>
      </c>
      <c r="X10">
        <v>15178</v>
      </c>
      <c r="Y10" t="s">
        <v>35</v>
      </c>
    </row>
    <row r="11" spans="1:25" x14ac:dyDescent="0.3">
      <c r="A11">
        <v>1302</v>
      </c>
      <c r="B11" t="s">
        <v>36</v>
      </c>
      <c r="C11" t="s">
        <v>26</v>
      </c>
      <c r="D11">
        <v>69447</v>
      </c>
      <c r="E11">
        <v>48228</v>
      </c>
      <c r="F11">
        <v>39613</v>
      </c>
      <c r="G11">
        <v>2144</v>
      </c>
      <c r="H11">
        <v>4.2563328999999997E-2</v>
      </c>
      <c r="I11">
        <v>58000</v>
      </c>
      <c r="J11">
        <v>40500</v>
      </c>
      <c r="K11">
        <v>80000</v>
      </c>
      <c r="L11">
        <v>0.69445764395870235</v>
      </c>
      <c r="M11">
        <v>0.82136932902048598</v>
      </c>
      <c r="N11">
        <v>39500</v>
      </c>
      <c r="O11">
        <v>0.69036528799999997</v>
      </c>
      <c r="P11">
        <v>1096</v>
      </c>
      <c r="Q11">
        <v>1692</v>
      </c>
      <c r="R11">
        <v>327</v>
      </c>
      <c r="S11">
        <v>78000</v>
      </c>
      <c r="T11">
        <v>59000</v>
      </c>
      <c r="U11">
        <v>19000</v>
      </c>
      <c r="Y11" t="s">
        <v>26</v>
      </c>
    </row>
    <row r="12" spans="1:25" x14ac:dyDescent="0.3">
      <c r="A12">
        <v>1303</v>
      </c>
      <c r="B12" t="s">
        <v>37</v>
      </c>
      <c r="C12" t="s">
        <v>26</v>
      </c>
      <c r="D12">
        <v>83188</v>
      </c>
      <c r="E12">
        <v>65937</v>
      </c>
      <c r="F12">
        <v>50595</v>
      </c>
      <c r="G12">
        <v>3789</v>
      </c>
      <c r="H12">
        <v>5.4341278999999999E-2</v>
      </c>
      <c r="I12">
        <v>52000</v>
      </c>
      <c r="J12">
        <v>37100</v>
      </c>
      <c r="K12">
        <v>75000</v>
      </c>
      <c r="L12">
        <v>0.79262634033754864</v>
      </c>
      <c r="M12">
        <v>0.76732335411074204</v>
      </c>
      <c r="N12">
        <v>37900</v>
      </c>
      <c r="O12">
        <v>0.56463933499999996</v>
      </c>
      <c r="P12">
        <v>4333</v>
      </c>
      <c r="Q12">
        <v>5808</v>
      </c>
      <c r="R12">
        <v>1405</v>
      </c>
      <c r="S12">
        <v>70000</v>
      </c>
      <c r="T12">
        <v>53000</v>
      </c>
      <c r="U12">
        <v>17000</v>
      </c>
      <c r="Y12" t="s">
        <v>26</v>
      </c>
    </row>
    <row r="13" spans="1:25" x14ac:dyDescent="0.3">
      <c r="A13">
        <v>1401</v>
      </c>
      <c r="B13" t="s">
        <v>38</v>
      </c>
      <c r="C13" t="s">
        <v>39</v>
      </c>
      <c r="D13">
        <v>294692</v>
      </c>
      <c r="E13">
        <v>216770</v>
      </c>
      <c r="F13">
        <v>163020</v>
      </c>
      <c r="G13">
        <v>20394</v>
      </c>
      <c r="H13">
        <v>8.5991128999999999E-2</v>
      </c>
      <c r="I13">
        <v>63000</v>
      </c>
      <c r="J13">
        <v>40400</v>
      </c>
      <c r="K13">
        <v>93500</v>
      </c>
      <c r="L13">
        <v>0.73558155633678557</v>
      </c>
      <c r="M13">
        <v>0.75204133413295193</v>
      </c>
      <c r="N13">
        <v>53100</v>
      </c>
      <c r="O13">
        <v>0.32176966299999998</v>
      </c>
      <c r="P13">
        <v>16178</v>
      </c>
      <c r="Q13">
        <v>13724</v>
      </c>
      <c r="R13">
        <v>4221</v>
      </c>
      <c r="S13">
        <v>72000</v>
      </c>
      <c r="T13">
        <v>64000</v>
      </c>
      <c r="U13">
        <v>8000</v>
      </c>
      <c r="V13">
        <v>46420</v>
      </c>
      <c r="W13">
        <v>25463</v>
      </c>
      <c r="X13">
        <v>20957</v>
      </c>
      <c r="Y13" t="s">
        <v>39</v>
      </c>
    </row>
    <row r="14" spans="1:25" x14ac:dyDescent="0.3">
      <c r="A14">
        <v>1501</v>
      </c>
      <c r="B14" t="s">
        <v>40</v>
      </c>
      <c r="C14" t="s">
        <v>41</v>
      </c>
      <c r="D14">
        <v>103740</v>
      </c>
      <c r="E14">
        <v>75798</v>
      </c>
      <c r="F14">
        <v>50530</v>
      </c>
      <c r="G14">
        <v>5525</v>
      </c>
      <c r="H14">
        <v>6.7938958999999993E-2</v>
      </c>
      <c r="I14">
        <v>46000</v>
      </c>
      <c r="J14">
        <v>32000</v>
      </c>
      <c r="K14">
        <v>71000</v>
      </c>
      <c r="L14">
        <v>0.73065355696934642</v>
      </c>
      <c r="M14">
        <v>0.66664028074619386</v>
      </c>
      <c r="N14">
        <v>39000</v>
      </c>
      <c r="O14">
        <v>0.75806026900000001</v>
      </c>
      <c r="P14">
        <v>8465</v>
      </c>
      <c r="Q14">
        <v>11818</v>
      </c>
      <c r="R14">
        <v>3677</v>
      </c>
      <c r="S14">
        <v>75000</v>
      </c>
      <c r="T14">
        <v>50000</v>
      </c>
      <c r="U14">
        <v>25000</v>
      </c>
      <c r="Y14" t="s">
        <v>41</v>
      </c>
    </row>
    <row r="15" spans="1:25" x14ac:dyDescent="0.3">
      <c r="A15">
        <v>1901</v>
      </c>
      <c r="B15" t="s">
        <v>42</v>
      </c>
      <c r="C15" t="s">
        <v>43</v>
      </c>
      <c r="D15">
        <v>987676</v>
      </c>
      <c r="E15">
        <v>790696</v>
      </c>
      <c r="F15">
        <v>595739</v>
      </c>
      <c r="G15">
        <v>54390</v>
      </c>
      <c r="H15">
        <v>6.4360314000000002E-2</v>
      </c>
      <c r="I15">
        <v>50000</v>
      </c>
      <c r="J15">
        <v>35000</v>
      </c>
      <c r="K15">
        <v>80000</v>
      </c>
      <c r="L15">
        <v>0.80056212766129786</v>
      </c>
      <c r="M15">
        <v>0.75343621315903964</v>
      </c>
      <c r="N15">
        <v>45000</v>
      </c>
      <c r="O15">
        <v>0.30510948900000001</v>
      </c>
      <c r="P15">
        <v>40763</v>
      </c>
      <c r="Q15">
        <v>97964</v>
      </c>
      <c r="R15">
        <v>27440</v>
      </c>
      <c r="S15">
        <v>65000</v>
      </c>
      <c r="T15">
        <v>52000</v>
      </c>
      <c r="U15">
        <v>13000</v>
      </c>
      <c r="Y15" t="s">
        <v>43</v>
      </c>
    </row>
    <row r="16" spans="1:25" x14ac:dyDescent="0.3">
      <c r="A16">
        <v>1902</v>
      </c>
      <c r="B16" t="s">
        <v>44</v>
      </c>
      <c r="C16" t="s">
        <v>43</v>
      </c>
      <c r="D16">
        <v>418104</v>
      </c>
      <c r="E16">
        <v>314438</v>
      </c>
      <c r="F16">
        <v>235407</v>
      </c>
      <c r="G16">
        <v>20754</v>
      </c>
      <c r="H16">
        <v>6.1916751999999999E-2</v>
      </c>
      <c r="I16">
        <v>50000</v>
      </c>
      <c r="J16">
        <v>35000</v>
      </c>
      <c r="K16">
        <v>80000</v>
      </c>
      <c r="L16">
        <v>0.75205690450222906</v>
      </c>
      <c r="M16">
        <v>0.74865951316316726</v>
      </c>
      <c r="N16">
        <v>45000</v>
      </c>
      <c r="O16">
        <v>0.71985895200000005</v>
      </c>
      <c r="P16">
        <v>23279</v>
      </c>
      <c r="Q16">
        <v>26672</v>
      </c>
      <c r="R16">
        <v>8512</v>
      </c>
      <c r="S16">
        <v>70000</v>
      </c>
      <c r="T16">
        <v>53000</v>
      </c>
      <c r="U16">
        <v>17000</v>
      </c>
      <c r="Y16" t="s">
        <v>43</v>
      </c>
    </row>
    <row r="17" spans="1:25" x14ac:dyDescent="0.3">
      <c r="A17">
        <v>1903</v>
      </c>
      <c r="B17" t="s">
        <v>45</v>
      </c>
      <c r="C17" t="s">
        <v>43</v>
      </c>
      <c r="D17">
        <v>211213</v>
      </c>
      <c r="E17">
        <v>170474</v>
      </c>
      <c r="F17">
        <v>125489</v>
      </c>
      <c r="G17">
        <v>15431</v>
      </c>
      <c r="H17">
        <v>8.3004759999999997E-2</v>
      </c>
      <c r="I17">
        <v>48000</v>
      </c>
      <c r="J17">
        <v>32000</v>
      </c>
      <c r="K17">
        <v>70000</v>
      </c>
      <c r="L17">
        <v>0.80711887999318221</v>
      </c>
      <c r="M17">
        <v>0.73611811771883107</v>
      </c>
      <c r="N17">
        <v>38000</v>
      </c>
      <c r="O17">
        <v>0.87722752800000003</v>
      </c>
      <c r="P17">
        <v>12855</v>
      </c>
      <c r="Q17">
        <v>25297</v>
      </c>
      <c r="R17">
        <v>6429</v>
      </c>
      <c r="S17">
        <v>57000</v>
      </c>
      <c r="T17">
        <v>50000</v>
      </c>
      <c r="U17">
        <v>7000</v>
      </c>
      <c r="Y17" t="s">
        <v>43</v>
      </c>
    </row>
    <row r="18" spans="1:25" x14ac:dyDescent="0.3">
      <c r="A18">
        <v>1904</v>
      </c>
      <c r="B18" t="s">
        <v>46</v>
      </c>
      <c r="C18" t="s">
        <v>43</v>
      </c>
      <c r="D18">
        <v>186829</v>
      </c>
      <c r="E18">
        <v>147433</v>
      </c>
      <c r="F18">
        <v>111552</v>
      </c>
      <c r="G18">
        <v>10624</v>
      </c>
      <c r="H18">
        <v>6.7216257000000001E-2</v>
      </c>
      <c r="I18">
        <v>50000</v>
      </c>
      <c r="J18">
        <v>34000</v>
      </c>
      <c r="K18">
        <v>75000</v>
      </c>
      <c r="L18">
        <v>0.78913337865106592</v>
      </c>
      <c r="M18">
        <v>0.75662843461097584</v>
      </c>
      <c r="N18">
        <v>41000</v>
      </c>
      <c r="O18">
        <v>0.67314339199999995</v>
      </c>
      <c r="P18">
        <v>9659</v>
      </c>
      <c r="Q18">
        <v>23059</v>
      </c>
      <c r="R18">
        <v>7214</v>
      </c>
      <c r="S18">
        <v>60000</v>
      </c>
      <c r="T18">
        <v>51000</v>
      </c>
      <c r="U18">
        <v>9000</v>
      </c>
      <c r="Y18" t="s">
        <v>43</v>
      </c>
    </row>
    <row r="19" spans="1:25" x14ac:dyDescent="0.3">
      <c r="A19">
        <v>2001</v>
      </c>
      <c r="B19" t="s">
        <v>47</v>
      </c>
      <c r="C19" t="s">
        <v>48</v>
      </c>
      <c r="D19">
        <v>62141</v>
      </c>
      <c r="E19">
        <v>49609</v>
      </c>
      <c r="F19">
        <v>37261</v>
      </c>
      <c r="G19">
        <v>4609</v>
      </c>
      <c r="H19">
        <v>8.5008668999999995E-2</v>
      </c>
      <c r="I19">
        <v>50000</v>
      </c>
      <c r="J19">
        <v>34500</v>
      </c>
      <c r="K19">
        <v>75000</v>
      </c>
      <c r="L19">
        <v>0.7983296052525708</v>
      </c>
      <c r="M19">
        <v>0.75109355157330326</v>
      </c>
      <c r="N19">
        <v>40500</v>
      </c>
      <c r="O19">
        <v>0.86445607899999999</v>
      </c>
      <c r="P19">
        <v>4545</v>
      </c>
      <c r="Q19">
        <v>8794</v>
      </c>
      <c r="R19">
        <v>2495</v>
      </c>
      <c r="S19">
        <v>57000</v>
      </c>
      <c r="T19">
        <v>52000</v>
      </c>
      <c r="U19">
        <v>5000</v>
      </c>
      <c r="V19">
        <v>18035</v>
      </c>
      <c r="W19">
        <v>11431</v>
      </c>
      <c r="X19">
        <v>6604</v>
      </c>
      <c r="Y19" t="s">
        <v>48</v>
      </c>
    </row>
    <row r="20" spans="1:25" x14ac:dyDescent="0.3">
      <c r="A20">
        <v>2100</v>
      </c>
      <c r="B20" t="s">
        <v>49</v>
      </c>
      <c r="C20" t="s">
        <v>48</v>
      </c>
      <c r="D20">
        <v>253782</v>
      </c>
      <c r="E20">
        <v>218248</v>
      </c>
      <c r="F20">
        <v>189950</v>
      </c>
      <c r="G20">
        <v>11945</v>
      </c>
      <c r="H20">
        <v>5.1891238999999999E-2</v>
      </c>
      <c r="I20">
        <v>65000</v>
      </c>
      <c r="J20">
        <v>45000</v>
      </c>
      <c r="K20">
        <v>90000</v>
      </c>
      <c r="L20">
        <v>0.85998218943817928</v>
      </c>
      <c r="M20">
        <v>0.87034016348374321</v>
      </c>
      <c r="N20">
        <v>45000</v>
      </c>
      <c r="O20">
        <v>0.70771850199999997</v>
      </c>
      <c r="P20">
        <v>13344</v>
      </c>
      <c r="Q20">
        <v>11783</v>
      </c>
      <c r="R20">
        <v>1672</v>
      </c>
      <c r="S20">
        <v>80000</v>
      </c>
      <c r="T20">
        <v>65000</v>
      </c>
      <c r="U20">
        <v>15000</v>
      </c>
      <c r="V20">
        <v>36698</v>
      </c>
      <c r="W20">
        <v>27392</v>
      </c>
      <c r="X20">
        <v>9306</v>
      </c>
      <c r="Y20" t="s">
        <v>48</v>
      </c>
    </row>
    <row r="21" spans="1:25" x14ac:dyDescent="0.3">
      <c r="A21">
        <v>2101</v>
      </c>
      <c r="B21" t="s">
        <v>50</v>
      </c>
      <c r="C21" t="s">
        <v>48</v>
      </c>
      <c r="D21">
        <v>29317</v>
      </c>
      <c r="E21">
        <v>22828</v>
      </c>
      <c r="F21">
        <v>18747</v>
      </c>
      <c r="G21">
        <v>2265</v>
      </c>
      <c r="H21">
        <v>9.0264216999999994E-2</v>
      </c>
      <c r="I21">
        <v>60000</v>
      </c>
      <c r="J21">
        <v>40000</v>
      </c>
      <c r="K21">
        <v>85000</v>
      </c>
      <c r="L21">
        <v>0.7786608452433742</v>
      </c>
      <c r="M21">
        <v>0.82122831610303137</v>
      </c>
      <c r="N21">
        <v>45000</v>
      </c>
      <c r="O21">
        <v>0.26919385800000001</v>
      </c>
      <c r="P21">
        <v>2024</v>
      </c>
      <c r="Q21">
        <v>1033</v>
      </c>
      <c r="R21">
        <v>263</v>
      </c>
      <c r="S21">
        <v>85000</v>
      </c>
      <c r="T21">
        <v>60000</v>
      </c>
      <c r="U21">
        <v>25000</v>
      </c>
      <c r="V21">
        <v>4168</v>
      </c>
      <c r="W21">
        <v>3046</v>
      </c>
      <c r="X21">
        <v>1122</v>
      </c>
      <c r="Y21" t="s">
        <v>48</v>
      </c>
    </row>
    <row r="22" spans="1:25" x14ac:dyDescent="0.3">
      <c r="A22">
        <v>2102</v>
      </c>
      <c r="B22" t="s">
        <v>51</v>
      </c>
      <c r="C22" t="s">
        <v>48</v>
      </c>
      <c r="D22">
        <v>783292</v>
      </c>
      <c r="E22">
        <v>656372</v>
      </c>
      <c r="F22">
        <v>561052</v>
      </c>
      <c r="G22">
        <v>34196</v>
      </c>
      <c r="H22">
        <v>4.9518657000000001E-2</v>
      </c>
      <c r="I22">
        <v>78000</v>
      </c>
      <c r="J22">
        <v>51000</v>
      </c>
      <c r="K22">
        <v>105000</v>
      </c>
      <c r="L22">
        <v>0.83796591820164124</v>
      </c>
      <c r="M22">
        <v>0.85477747374964197</v>
      </c>
      <c r="N22">
        <v>54000</v>
      </c>
      <c r="O22">
        <v>0.57876633799999999</v>
      </c>
      <c r="P22">
        <v>68622</v>
      </c>
      <c r="Q22">
        <v>25667</v>
      </c>
      <c r="R22">
        <v>5144</v>
      </c>
      <c r="S22">
        <v>95000</v>
      </c>
      <c r="T22">
        <v>80000</v>
      </c>
      <c r="U22">
        <v>15000</v>
      </c>
      <c r="V22">
        <v>128319</v>
      </c>
      <c r="W22">
        <v>99743</v>
      </c>
      <c r="X22">
        <v>28576</v>
      </c>
      <c r="Y22" t="s">
        <v>48</v>
      </c>
    </row>
    <row r="23" spans="1:25" x14ac:dyDescent="0.3">
      <c r="A23">
        <v>2105</v>
      </c>
      <c r="B23" t="s">
        <v>52</v>
      </c>
      <c r="C23" t="s">
        <v>48</v>
      </c>
      <c r="D23">
        <v>77805</v>
      </c>
      <c r="E23">
        <v>66393</v>
      </c>
      <c r="F23">
        <v>57604</v>
      </c>
      <c r="G23">
        <v>3704</v>
      </c>
      <c r="H23">
        <v>5.2841063000000001E-2</v>
      </c>
      <c r="I23">
        <v>68000</v>
      </c>
      <c r="J23">
        <v>46200</v>
      </c>
      <c r="K23">
        <v>95000</v>
      </c>
      <c r="L23">
        <v>0.85332562174667437</v>
      </c>
      <c r="M23">
        <v>0.86762158661304656</v>
      </c>
      <c r="N23">
        <v>48800</v>
      </c>
      <c r="O23">
        <v>0.52647576399999996</v>
      </c>
      <c r="P23">
        <v>4390</v>
      </c>
      <c r="Q23">
        <v>4102</v>
      </c>
      <c r="R23">
        <v>608</v>
      </c>
      <c r="S23">
        <v>84000</v>
      </c>
      <c r="T23">
        <v>70000</v>
      </c>
      <c r="U23">
        <v>14000</v>
      </c>
      <c r="V23">
        <v>11913</v>
      </c>
      <c r="W23">
        <v>9005</v>
      </c>
      <c r="X23">
        <v>2908</v>
      </c>
      <c r="Y23" t="s">
        <v>48</v>
      </c>
    </row>
    <row r="24" spans="1:25" x14ac:dyDescent="0.3">
      <c r="A24">
        <v>2106</v>
      </c>
      <c r="B24" t="s">
        <v>53</v>
      </c>
      <c r="C24" t="s">
        <v>48</v>
      </c>
      <c r="D24">
        <v>39362</v>
      </c>
      <c r="E24">
        <v>32366</v>
      </c>
      <c r="F24">
        <v>28156</v>
      </c>
      <c r="G24">
        <v>2626</v>
      </c>
      <c r="H24">
        <v>7.5045724999999994E-2</v>
      </c>
      <c r="I24">
        <v>55000</v>
      </c>
      <c r="J24">
        <v>40000</v>
      </c>
      <c r="K24">
        <v>80000</v>
      </c>
      <c r="L24">
        <v>0.8222651288044307</v>
      </c>
      <c r="M24">
        <v>0.86992523017981838</v>
      </c>
      <c r="N24">
        <v>40000</v>
      </c>
      <c r="O24">
        <v>0.180882718</v>
      </c>
      <c r="P24">
        <v>2354</v>
      </c>
      <c r="Q24">
        <v>3244</v>
      </c>
      <c r="R24">
        <v>308</v>
      </c>
      <c r="S24">
        <v>81000</v>
      </c>
      <c r="T24">
        <v>60000</v>
      </c>
      <c r="U24">
        <v>21000</v>
      </c>
      <c r="V24">
        <v>8066</v>
      </c>
      <c r="W24">
        <v>6607</v>
      </c>
      <c r="X24">
        <v>1459</v>
      </c>
      <c r="Y24" t="s">
        <v>48</v>
      </c>
    </row>
    <row r="25" spans="1:25" x14ac:dyDescent="0.3">
      <c r="A25">
        <v>2107</v>
      </c>
      <c r="B25" t="s">
        <v>54</v>
      </c>
      <c r="C25" t="s">
        <v>48</v>
      </c>
      <c r="D25">
        <v>51771</v>
      </c>
      <c r="E25">
        <v>44071</v>
      </c>
      <c r="F25">
        <v>35954</v>
      </c>
      <c r="G25">
        <v>2748</v>
      </c>
      <c r="H25">
        <v>5.8694120000000002E-2</v>
      </c>
      <c r="I25">
        <v>55000</v>
      </c>
      <c r="J25">
        <v>36000</v>
      </c>
      <c r="K25">
        <v>80000</v>
      </c>
      <c r="L25">
        <v>0.85126808444882274</v>
      </c>
      <c r="M25">
        <v>0.81581992693608041</v>
      </c>
      <c r="N25">
        <v>44000</v>
      </c>
      <c r="O25">
        <v>0.30500459699999999</v>
      </c>
      <c r="P25">
        <v>2593</v>
      </c>
      <c r="Q25">
        <v>2941</v>
      </c>
      <c r="R25">
        <v>352</v>
      </c>
      <c r="S25">
        <v>80000</v>
      </c>
      <c r="T25">
        <v>58000</v>
      </c>
      <c r="U25">
        <v>22000</v>
      </c>
      <c r="V25">
        <v>7613</v>
      </c>
      <c r="W25">
        <v>5291</v>
      </c>
      <c r="X25">
        <v>2322</v>
      </c>
      <c r="Y25" t="s">
        <v>48</v>
      </c>
    </row>
    <row r="26" spans="1:25" x14ac:dyDescent="0.3">
      <c r="A26">
        <v>2201</v>
      </c>
      <c r="B26" t="s">
        <v>55</v>
      </c>
      <c r="C26" t="s">
        <v>56</v>
      </c>
      <c r="D26">
        <v>42325</v>
      </c>
      <c r="E26">
        <v>33388</v>
      </c>
      <c r="F26">
        <v>25780</v>
      </c>
      <c r="G26">
        <v>1941</v>
      </c>
      <c r="H26">
        <v>5.4940700000000002E-2</v>
      </c>
      <c r="I26">
        <v>40000</v>
      </c>
      <c r="J26">
        <v>26200</v>
      </c>
      <c r="K26">
        <v>60000</v>
      </c>
      <c r="L26">
        <v>0.78884819846426457</v>
      </c>
      <c r="M26">
        <v>0.77213370073080145</v>
      </c>
      <c r="N26">
        <v>33800</v>
      </c>
      <c r="O26">
        <v>0.38371900599999997</v>
      </c>
      <c r="P26">
        <v>563</v>
      </c>
      <c r="Q26">
        <v>7384</v>
      </c>
      <c r="R26">
        <v>3163</v>
      </c>
      <c r="S26">
        <v>47000</v>
      </c>
      <c r="T26">
        <v>41600</v>
      </c>
      <c r="U26">
        <v>5400</v>
      </c>
      <c r="Y26" t="s">
        <v>56</v>
      </c>
    </row>
    <row r="27" spans="1:25" x14ac:dyDescent="0.3">
      <c r="A27">
        <v>2300</v>
      </c>
      <c r="B27" t="s">
        <v>57</v>
      </c>
      <c r="C27" t="s">
        <v>58</v>
      </c>
      <c r="D27">
        <v>1438867</v>
      </c>
      <c r="E27">
        <v>843693</v>
      </c>
      <c r="F27">
        <v>591863</v>
      </c>
      <c r="G27">
        <v>38742</v>
      </c>
      <c r="H27">
        <v>4.3903517000000003E-2</v>
      </c>
      <c r="I27">
        <v>43000</v>
      </c>
      <c r="J27">
        <v>32000</v>
      </c>
      <c r="K27">
        <v>59000</v>
      </c>
      <c r="L27">
        <v>0.58635926739580513</v>
      </c>
      <c r="M27">
        <v>0.70151465047120221</v>
      </c>
      <c r="N27">
        <v>27000</v>
      </c>
      <c r="O27">
        <v>0.812876606</v>
      </c>
      <c r="P27">
        <v>82007</v>
      </c>
      <c r="Q27">
        <v>31112</v>
      </c>
      <c r="R27">
        <v>11443</v>
      </c>
      <c r="S27">
        <v>58000</v>
      </c>
      <c r="T27">
        <v>44000</v>
      </c>
      <c r="U27">
        <v>14000</v>
      </c>
      <c r="Y27" t="s">
        <v>58</v>
      </c>
    </row>
    <row r="28" spans="1:25" x14ac:dyDescent="0.3">
      <c r="A28">
        <v>2301</v>
      </c>
      <c r="B28" t="s">
        <v>59</v>
      </c>
      <c r="C28" t="s">
        <v>58</v>
      </c>
      <c r="D28">
        <v>4037</v>
      </c>
      <c r="E28">
        <v>3113</v>
      </c>
      <c r="F28">
        <v>2468</v>
      </c>
      <c r="G28">
        <v>0</v>
      </c>
      <c r="H28">
        <v>0</v>
      </c>
      <c r="I28">
        <v>58000</v>
      </c>
      <c r="J28">
        <v>44750</v>
      </c>
      <c r="K28">
        <v>79000</v>
      </c>
      <c r="L28">
        <v>0.77111716621253401</v>
      </c>
      <c r="M28">
        <v>0.79280436877610028</v>
      </c>
      <c r="N28">
        <v>34250</v>
      </c>
      <c r="O28">
        <v>0.448732309</v>
      </c>
      <c r="P28">
        <v>346</v>
      </c>
      <c r="Q28">
        <v>206</v>
      </c>
      <c r="R28">
        <v>111</v>
      </c>
      <c r="S28">
        <v>65000</v>
      </c>
      <c r="T28">
        <v>58000</v>
      </c>
      <c r="U28">
        <v>7000</v>
      </c>
      <c r="Y28" t="s">
        <v>58</v>
      </c>
    </row>
    <row r="29" spans="1:25" x14ac:dyDescent="0.3">
      <c r="A29">
        <v>2303</v>
      </c>
      <c r="B29" t="s">
        <v>60</v>
      </c>
      <c r="C29" t="s">
        <v>58</v>
      </c>
      <c r="D29">
        <v>2396</v>
      </c>
      <c r="E29">
        <v>1492</v>
      </c>
      <c r="F29">
        <v>1093</v>
      </c>
      <c r="G29">
        <v>169</v>
      </c>
      <c r="H29">
        <v>0.101745936</v>
      </c>
      <c r="I29">
        <v>41000</v>
      </c>
      <c r="J29">
        <v>33200</v>
      </c>
      <c r="K29">
        <v>50000</v>
      </c>
      <c r="L29">
        <v>0.62270450751252082</v>
      </c>
      <c r="M29">
        <v>0.73257372654155495</v>
      </c>
      <c r="N29">
        <v>16800</v>
      </c>
      <c r="O29">
        <v>0.56486557000000004</v>
      </c>
      <c r="P29">
        <v>509</v>
      </c>
      <c r="Q29">
        <v>221</v>
      </c>
      <c r="R29">
        <v>0</v>
      </c>
      <c r="S29">
        <v>56000</v>
      </c>
      <c r="T29">
        <v>42000</v>
      </c>
      <c r="U29">
        <v>14000</v>
      </c>
      <c r="Y29" t="s">
        <v>58</v>
      </c>
    </row>
    <row r="30" spans="1:25" x14ac:dyDescent="0.3">
      <c r="A30">
        <v>2304</v>
      </c>
      <c r="B30" t="s">
        <v>61</v>
      </c>
      <c r="C30" t="s">
        <v>58</v>
      </c>
      <c r="D30">
        <v>1446701</v>
      </c>
      <c r="E30">
        <v>819393</v>
      </c>
      <c r="F30">
        <v>501786</v>
      </c>
      <c r="G30">
        <v>32685</v>
      </c>
      <c r="H30">
        <v>3.8359164000000001E-2</v>
      </c>
      <c r="I30">
        <v>40000</v>
      </c>
      <c r="J30">
        <v>31000</v>
      </c>
      <c r="K30">
        <v>50000</v>
      </c>
      <c r="L30">
        <v>0.56638724933486606</v>
      </c>
      <c r="M30">
        <v>0.6123874624264547</v>
      </c>
      <c r="N30">
        <v>19000</v>
      </c>
      <c r="O30">
        <v>0.92374547900000004</v>
      </c>
      <c r="P30">
        <v>108085</v>
      </c>
      <c r="Q30">
        <v>36972</v>
      </c>
      <c r="R30">
        <v>11502</v>
      </c>
      <c r="S30">
        <v>55000</v>
      </c>
      <c r="T30">
        <v>40000</v>
      </c>
      <c r="U30">
        <v>15000</v>
      </c>
      <c r="Y30" t="s">
        <v>58</v>
      </c>
    </row>
    <row r="31" spans="1:25" x14ac:dyDescent="0.3">
      <c r="A31">
        <v>2305</v>
      </c>
      <c r="B31" t="s">
        <v>62</v>
      </c>
      <c r="C31" t="s">
        <v>58</v>
      </c>
      <c r="D31">
        <v>68808</v>
      </c>
      <c r="E31">
        <v>47203</v>
      </c>
      <c r="F31">
        <v>29494</v>
      </c>
      <c r="G31">
        <v>1610</v>
      </c>
      <c r="H31">
        <v>3.2983017000000003E-2</v>
      </c>
      <c r="I31">
        <v>43000</v>
      </c>
      <c r="J31">
        <v>34000</v>
      </c>
      <c r="K31">
        <v>60000</v>
      </c>
      <c r="L31">
        <v>0.68601034763399604</v>
      </c>
      <c r="M31">
        <v>0.62483316738342898</v>
      </c>
      <c r="N31">
        <v>26000</v>
      </c>
      <c r="O31">
        <v>0.79209526200000002</v>
      </c>
      <c r="P31">
        <v>10699</v>
      </c>
      <c r="Q31">
        <v>1977</v>
      </c>
      <c r="R31">
        <v>786</v>
      </c>
      <c r="S31">
        <v>60000</v>
      </c>
      <c r="T31">
        <v>45000</v>
      </c>
      <c r="U31">
        <v>15000</v>
      </c>
      <c r="Y31" t="s">
        <v>58</v>
      </c>
    </row>
    <row r="32" spans="1:25" x14ac:dyDescent="0.3">
      <c r="A32">
        <v>2306</v>
      </c>
      <c r="B32" t="s">
        <v>63</v>
      </c>
      <c r="C32" t="s">
        <v>58</v>
      </c>
      <c r="D32">
        <v>281661</v>
      </c>
      <c r="E32">
        <v>193542</v>
      </c>
      <c r="F32">
        <v>136343</v>
      </c>
      <c r="G32">
        <v>9389</v>
      </c>
      <c r="H32">
        <v>4.6266957999999997E-2</v>
      </c>
      <c r="I32">
        <v>48400</v>
      </c>
      <c r="J32">
        <v>34000</v>
      </c>
      <c r="K32">
        <v>66500</v>
      </c>
      <c r="L32">
        <v>0.68714518516940581</v>
      </c>
      <c r="M32">
        <v>0.70446208058199256</v>
      </c>
      <c r="N32">
        <v>32500</v>
      </c>
      <c r="O32">
        <v>0.50672076300000002</v>
      </c>
      <c r="P32">
        <v>12777</v>
      </c>
      <c r="Q32">
        <v>9328</v>
      </c>
      <c r="R32">
        <v>2042</v>
      </c>
      <c r="S32">
        <v>65000</v>
      </c>
      <c r="T32">
        <v>50000</v>
      </c>
      <c r="U32">
        <v>15000</v>
      </c>
      <c r="Y32" t="s">
        <v>58</v>
      </c>
    </row>
    <row r="33" spans="1:25" x14ac:dyDescent="0.3">
      <c r="A33">
        <v>2307</v>
      </c>
      <c r="B33" t="s">
        <v>64</v>
      </c>
      <c r="C33" t="s">
        <v>58</v>
      </c>
      <c r="D33">
        <v>157079</v>
      </c>
      <c r="E33">
        <v>113460</v>
      </c>
      <c r="F33">
        <v>71133</v>
      </c>
      <c r="G33">
        <v>5890</v>
      </c>
      <c r="H33">
        <v>4.9350649000000003E-2</v>
      </c>
      <c r="I33">
        <v>35300</v>
      </c>
      <c r="J33">
        <v>27000</v>
      </c>
      <c r="K33">
        <v>45800</v>
      </c>
      <c r="L33">
        <v>0.72231170302841241</v>
      </c>
      <c r="M33">
        <v>0.62694341618191429</v>
      </c>
      <c r="N33">
        <v>18800</v>
      </c>
      <c r="O33">
        <v>0.96799811899999999</v>
      </c>
      <c r="P33">
        <v>23515</v>
      </c>
      <c r="Q33">
        <v>7705</v>
      </c>
      <c r="R33">
        <v>2868</v>
      </c>
      <c r="S33">
        <v>50000</v>
      </c>
      <c r="T33">
        <v>37000</v>
      </c>
      <c r="U33">
        <v>13000</v>
      </c>
      <c r="Y33" t="s">
        <v>58</v>
      </c>
    </row>
    <row r="34" spans="1:25" x14ac:dyDescent="0.3">
      <c r="A34">
        <v>2308</v>
      </c>
      <c r="B34" t="s">
        <v>65</v>
      </c>
      <c r="C34" t="s">
        <v>58</v>
      </c>
      <c r="D34">
        <v>56477</v>
      </c>
      <c r="E34">
        <v>36224</v>
      </c>
      <c r="F34">
        <v>24817</v>
      </c>
      <c r="G34">
        <v>1596</v>
      </c>
      <c r="H34">
        <v>4.2199894000000002E-2</v>
      </c>
      <c r="I34">
        <v>46000</v>
      </c>
      <c r="J34">
        <v>35000</v>
      </c>
      <c r="K34">
        <v>61000</v>
      </c>
      <c r="L34">
        <v>0.64139384174088565</v>
      </c>
      <c r="M34">
        <v>0.68509827738515905</v>
      </c>
      <c r="N34">
        <v>26000</v>
      </c>
      <c r="O34">
        <v>0.423208896</v>
      </c>
      <c r="P34">
        <v>4214</v>
      </c>
      <c r="Q34">
        <v>1106</v>
      </c>
      <c r="R34">
        <v>591</v>
      </c>
      <c r="S34">
        <v>62000</v>
      </c>
      <c r="T34">
        <v>48000</v>
      </c>
      <c r="U34">
        <v>14000</v>
      </c>
      <c r="Y34" t="s">
        <v>58</v>
      </c>
    </row>
    <row r="35" spans="1:25" x14ac:dyDescent="0.3">
      <c r="A35">
        <v>2309</v>
      </c>
      <c r="B35" t="s">
        <v>66</v>
      </c>
      <c r="C35" t="s">
        <v>58</v>
      </c>
      <c r="D35">
        <v>224262</v>
      </c>
      <c r="E35">
        <v>129486</v>
      </c>
      <c r="F35">
        <v>88917</v>
      </c>
      <c r="G35">
        <v>5925</v>
      </c>
      <c r="H35">
        <v>4.3755677E-2</v>
      </c>
      <c r="I35">
        <v>45000</v>
      </c>
      <c r="J35">
        <v>34000</v>
      </c>
      <c r="K35">
        <v>60000</v>
      </c>
      <c r="L35">
        <v>0.57738716322872352</v>
      </c>
      <c r="M35">
        <v>0.68669199759047306</v>
      </c>
      <c r="N35">
        <v>26000</v>
      </c>
      <c r="O35">
        <v>0.60175182500000002</v>
      </c>
      <c r="P35">
        <v>10304</v>
      </c>
      <c r="Q35">
        <v>3967</v>
      </c>
      <c r="R35">
        <v>1385</v>
      </c>
      <c r="S35">
        <v>61000</v>
      </c>
      <c r="T35">
        <v>45000</v>
      </c>
      <c r="U35">
        <v>16000</v>
      </c>
      <c r="Y35" t="s">
        <v>58</v>
      </c>
    </row>
    <row r="36" spans="1:25" x14ac:dyDescent="0.3">
      <c r="A36">
        <v>2310</v>
      </c>
      <c r="B36" t="s">
        <v>67</v>
      </c>
      <c r="C36" t="s">
        <v>58</v>
      </c>
      <c r="D36">
        <v>149689</v>
      </c>
      <c r="E36">
        <v>108272</v>
      </c>
      <c r="F36">
        <v>71615</v>
      </c>
      <c r="G36">
        <v>5357</v>
      </c>
      <c r="H36">
        <v>4.7144655000000001E-2</v>
      </c>
      <c r="I36">
        <v>42000</v>
      </c>
      <c r="J36">
        <v>34000</v>
      </c>
      <c r="K36">
        <v>53000</v>
      </c>
      <c r="L36">
        <v>0.72331300229141748</v>
      </c>
      <c r="M36">
        <v>0.66143601300428545</v>
      </c>
      <c r="N36">
        <v>19000</v>
      </c>
      <c r="O36">
        <v>0.36617687799999998</v>
      </c>
      <c r="P36">
        <v>20185</v>
      </c>
      <c r="Q36">
        <v>3797</v>
      </c>
      <c r="R36">
        <v>1179</v>
      </c>
      <c r="S36">
        <v>58000</v>
      </c>
      <c r="T36">
        <v>43000</v>
      </c>
      <c r="U36">
        <v>15000</v>
      </c>
      <c r="Y36" t="s">
        <v>58</v>
      </c>
    </row>
    <row r="37" spans="1:25" x14ac:dyDescent="0.3">
      <c r="A37">
        <v>2311</v>
      </c>
      <c r="B37" t="s">
        <v>68</v>
      </c>
      <c r="C37" t="s">
        <v>58</v>
      </c>
      <c r="D37">
        <v>127022</v>
      </c>
      <c r="E37">
        <v>78785</v>
      </c>
      <c r="F37">
        <v>51632</v>
      </c>
      <c r="G37">
        <v>3800</v>
      </c>
      <c r="H37">
        <v>4.6013198999999998E-2</v>
      </c>
      <c r="I37">
        <v>45000</v>
      </c>
      <c r="J37">
        <v>33000</v>
      </c>
      <c r="K37">
        <v>64000</v>
      </c>
      <c r="L37">
        <v>0.62024688636614134</v>
      </c>
      <c r="M37">
        <v>0.6553531763660595</v>
      </c>
      <c r="N37">
        <v>31000</v>
      </c>
      <c r="O37">
        <v>0.73396758299999998</v>
      </c>
      <c r="P37">
        <v>10928</v>
      </c>
      <c r="Q37">
        <v>5561</v>
      </c>
      <c r="R37">
        <v>1806</v>
      </c>
      <c r="S37">
        <v>60000</v>
      </c>
      <c r="T37">
        <v>47000</v>
      </c>
      <c r="U37">
        <v>13000</v>
      </c>
      <c r="Y37" t="s">
        <v>58</v>
      </c>
    </row>
    <row r="38" spans="1:25" x14ac:dyDescent="0.3">
      <c r="A38">
        <v>2312</v>
      </c>
      <c r="B38" t="s">
        <v>69</v>
      </c>
      <c r="C38" t="s">
        <v>58</v>
      </c>
      <c r="D38">
        <v>88067</v>
      </c>
      <c r="E38">
        <v>58885</v>
      </c>
      <c r="F38">
        <v>37892</v>
      </c>
      <c r="G38">
        <v>2032</v>
      </c>
      <c r="H38">
        <v>3.3356863E-2</v>
      </c>
      <c r="I38">
        <v>40000</v>
      </c>
      <c r="J38">
        <v>30000</v>
      </c>
      <c r="K38">
        <v>51000</v>
      </c>
      <c r="L38">
        <v>0.66863865011865964</v>
      </c>
      <c r="M38">
        <v>0.64349155132886138</v>
      </c>
      <c r="N38">
        <v>21000</v>
      </c>
      <c r="O38">
        <v>0.79891981700000003</v>
      </c>
      <c r="P38">
        <v>10766</v>
      </c>
      <c r="Q38">
        <v>1949</v>
      </c>
      <c r="R38">
        <v>722</v>
      </c>
      <c r="S38">
        <v>55000</v>
      </c>
      <c r="T38">
        <v>40000</v>
      </c>
      <c r="U38">
        <v>15000</v>
      </c>
      <c r="Y38" t="s">
        <v>58</v>
      </c>
    </row>
    <row r="39" spans="1:25" x14ac:dyDescent="0.3">
      <c r="A39">
        <v>2313</v>
      </c>
      <c r="B39" t="s">
        <v>70</v>
      </c>
      <c r="C39" t="s">
        <v>58</v>
      </c>
      <c r="D39">
        <v>181445</v>
      </c>
      <c r="E39">
        <v>111347</v>
      </c>
      <c r="F39">
        <v>67651</v>
      </c>
      <c r="G39">
        <v>5624</v>
      </c>
      <c r="H39">
        <v>4.8080293000000003E-2</v>
      </c>
      <c r="I39">
        <v>42000</v>
      </c>
      <c r="J39">
        <v>32000</v>
      </c>
      <c r="K39">
        <v>54000</v>
      </c>
      <c r="L39">
        <v>0.61366805368017852</v>
      </c>
      <c r="M39">
        <v>0.6075691307354486</v>
      </c>
      <c r="N39">
        <v>22000</v>
      </c>
      <c r="O39">
        <v>0.57636006100000003</v>
      </c>
      <c r="P39">
        <v>17985</v>
      </c>
      <c r="Q39">
        <v>6824</v>
      </c>
      <c r="R39">
        <v>2819</v>
      </c>
      <c r="S39">
        <v>58000</v>
      </c>
      <c r="T39">
        <v>43200</v>
      </c>
      <c r="U39">
        <v>14800</v>
      </c>
      <c r="Y39" t="s">
        <v>58</v>
      </c>
    </row>
    <row r="40" spans="1:25" x14ac:dyDescent="0.3">
      <c r="A40">
        <v>2314</v>
      </c>
      <c r="B40" t="s">
        <v>71</v>
      </c>
      <c r="C40" t="s">
        <v>58</v>
      </c>
      <c r="D40">
        <v>231861</v>
      </c>
      <c r="E40">
        <v>155159</v>
      </c>
      <c r="F40">
        <v>94756</v>
      </c>
      <c r="G40">
        <v>6629</v>
      </c>
      <c r="H40">
        <v>4.0973373E-2</v>
      </c>
      <c r="I40">
        <v>42600</v>
      </c>
      <c r="J40">
        <v>32000</v>
      </c>
      <c r="K40">
        <v>56000</v>
      </c>
      <c r="L40">
        <v>0.66918973005378224</v>
      </c>
      <c r="M40">
        <v>0.61070256962212954</v>
      </c>
      <c r="N40">
        <v>24000</v>
      </c>
      <c r="O40">
        <v>0.68602439999999998</v>
      </c>
      <c r="P40">
        <v>20821</v>
      </c>
      <c r="Q40">
        <v>8260</v>
      </c>
      <c r="R40">
        <v>2767</v>
      </c>
      <c r="S40">
        <v>59000</v>
      </c>
      <c r="T40">
        <v>44000</v>
      </c>
      <c r="U40">
        <v>15000</v>
      </c>
      <c r="Y40" t="s">
        <v>58</v>
      </c>
    </row>
    <row r="41" spans="1:25" x14ac:dyDescent="0.3">
      <c r="A41">
        <v>2399</v>
      </c>
      <c r="B41" t="s">
        <v>72</v>
      </c>
      <c r="C41" t="s">
        <v>58</v>
      </c>
      <c r="D41">
        <v>225553</v>
      </c>
      <c r="E41">
        <v>126054</v>
      </c>
      <c r="F41">
        <v>91322</v>
      </c>
      <c r="G41">
        <v>5145</v>
      </c>
      <c r="H41">
        <v>3.9215237999999999E-2</v>
      </c>
      <c r="I41">
        <v>50000</v>
      </c>
      <c r="J41">
        <v>35600</v>
      </c>
      <c r="K41">
        <v>71000</v>
      </c>
      <c r="L41">
        <v>0.55886643050635554</v>
      </c>
      <c r="M41">
        <v>0.72446729179557967</v>
      </c>
      <c r="N41">
        <v>35400</v>
      </c>
      <c r="O41">
        <v>0.71836476599999999</v>
      </c>
      <c r="P41">
        <v>5284</v>
      </c>
      <c r="Q41">
        <v>2438</v>
      </c>
      <c r="R41">
        <v>657</v>
      </c>
      <c r="S41">
        <v>61000</v>
      </c>
      <c r="T41">
        <v>50000</v>
      </c>
      <c r="U41">
        <v>11000</v>
      </c>
      <c r="Y41" t="s">
        <v>58</v>
      </c>
    </row>
    <row r="42" spans="1:25" x14ac:dyDescent="0.3">
      <c r="A42">
        <v>2400</v>
      </c>
      <c r="B42" t="s">
        <v>73</v>
      </c>
      <c r="C42" t="s">
        <v>39</v>
      </c>
      <c r="D42">
        <v>503080</v>
      </c>
      <c r="E42">
        <v>359172</v>
      </c>
      <c r="F42">
        <v>312023</v>
      </c>
      <c r="G42">
        <v>17986</v>
      </c>
      <c r="H42">
        <v>4.7688237000000001E-2</v>
      </c>
      <c r="I42">
        <v>75000</v>
      </c>
      <c r="J42">
        <v>50000</v>
      </c>
      <c r="K42">
        <v>100000</v>
      </c>
      <c r="L42">
        <v>0.71394609207283133</v>
      </c>
      <c r="M42">
        <v>0.86872863140779344</v>
      </c>
      <c r="N42">
        <v>50000</v>
      </c>
      <c r="O42">
        <v>0.25295983799999999</v>
      </c>
      <c r="P42">
        <v>26898</v>
      </c>
      <c r="Q42">
        <v>11734</v>
      </c>
      <c r="R42">
        <v>3192</v>
      </c>
      <c r="S42">
        <v>100000</v>
      </c>
      <c r="T42">
        <v>75000</v>
      </c>
      <c r="U42">
        <v>25000</v>
      </c>
      <c r="V42">
        <v>61152</v>
      </c>
      <c r="W42">
        <v>45683</v>
      </c>
      <c r="X42">
        <v>15469</v>
      </c>
      <c r="Y42" t="s">
        <v>39</v>
      </c>
    </row>
    <row r="43" spans="1:25" x14ac:dyDescent="0.3">
      <c r="A43">
        <v>2401</v>
      </c>
      <c r="B43" t="s">
        <v>74</v>
      </c>
      <c r="C43" t="s">
        <v>39</v>
      </c>
      <c r="D43">
        <v>65734</v>
      </c>
      <c r="E43">
        <v>44944</v>
      </c>
      <c r="F43">
        <v>38491</v>
      </c>
      <c r="G43">
        <v>1969</v>
      </c>
      <c r="H43">
        <v>4.1971308999999998E-2</v>
      </c>
      <c r="I43">
        <v>80000</v>
      </c>
      <c r="J43">
        <v>58000</v>
      </c>
      <c r="K43">
        <v>110000</v>
      </c>
      <c r="L43">
        <v>0.68372531718745244</v>
      </c>
      <c r="M43">
        <v>0.85642132431470275</v>
      </c>
      <c r="N43">
        <v>52000</v>
      </c>
      <c r="O43">
        <v>0.19645025599999999</v>
      </c>
      <c r="P43">
        <v>8184</v>
      </c>
      <c r="Q43">
        <v>2425</v>
      </c>
      <c r="R43">
        <v>372</v>
      </c>
      <c r="S43">
        <v>107000</v>
      </c>
      <c r="T43">
        <v>85000</v>
      </c>
      <c r="U43">
        <v>22000</v>
      </c>
      <c r="V43">
        <v>15058</v>
      </c>
      <c r="W43">
        <v>12953</v>
      </c>
      <c r="X43">
        <v>2105</v>
      </c>
      <c r="Y43" t="s">
        <v>39</v>
      </c>
    </row>
    <row r="44" spans="1:25" x14ac:dyDescent="0.3">
      <c r="A44">
        <v>2402</v>
      </c>
      <c r="B44" t="s">
        <v>75</v>
      </c>
      <c r="C44" t="s">
        <v>39</v>
      </c>
      <c r="D44">
        <v>32748</v>
      </c>
      <c r="E44">
        <v>24270</v>
      </c>
      <c r="F44">
        <v>18621</v>
      </c>
      <c r="G44">
        <v>1521</v>
      </c>
      <c r="H44">
        <v>5.8974061000000001E-2</v>
      </c>
      <c r="I44">
        <v>62000</v>
      </c>
      <c r="J44">
        <v>40000</v>
      </c>
      <c r="K44">
        <v>91000</v>
      </c>
      <c r="L44">
        <v>0.74111396115793327</v>
      </c>
      <c r="M44">
        <v>0.76724351050679851</v>
      </c>
      <c r="N44">
        <v>51000</v>
      </c>
      <c r="O44">
        <v>0.32078431400000001</v>
      </c>
      <c r="P44">
        <v>3603</v>
      </c>
      <c r="Q44">
        <v>1595</v>
      </c>
      <c r="R44">
        <v>524</v>
      </c>
      <c r="S44">
        <v>80000</v>
      </c>
      <c r="T44">
        <v>65000</v>
      </c>
      <c r="U44">
        <v>15000</v>
      </c>
      <c r="V44">
        <v>8925</v>
      </c>
      <c r="W44">
        <v>6062</v>
      </c>
      <c r="X44">
        <v>2863</v>
      </c>
      <c r="Y44" t="s">
        <v>39</v>
      </c>
    </row>
    <row r="45" spans="1:25" x14ac:dyDescent="0.3">
      <c r="A45">
        <v>2403</v>
      </c>
      <c r="B45" t="s">
        <v>76</v>
      </c>
      <c r="C45" t="s">
        <v>39</v>
      </c>
      <c r="D45">
        <v>19587</v>
      </c>
      <c r="E45">
        <v>13713</v>
      </c>
      <c r="F45">
        <v>11180</v>
      </c>
      <c r="G45">
        <v>1017</v>
      </c>
      <c r="H45">
        <v>6.9042770000000003E-2</v>
      </c>
      <c r="I45">
        <v>78000</v>
      </c>
      <c r="J45">
        <v>50000</v>
      </c>
      <c r="K45">
        <v>102000</v>
      </c>
      <c r="L45">
        <v>0.70010721396844844</v>
      </c>
      <c r="M45">
        <v>0.8152847662801721</v>
      </c>
      <c r="N45">
        <v>52000</v>
      </c>
      <c r="O45">
        <v>0.350442478</v>
      </c>
      <c r="P45">
        <v>1665</v>
      </c>
      <c r="Q45">
        <v>649</v>
      </c>
      <c r="R45">
        <v>137</v>
      </c>
      <c r="S45">
        <v>78000</v>
      </c>
      <c r="T45">
        <v>80000</v>
      </c>
      <c r="U45">
        <v>-2000</v>
      </c>
      <c r="V45">
        <v>2825</v>
      </c>
      <c r="W45">
        <v>1835</v>
      </c>
      <c r="X45">
        <v>990</v>
      </c>
      <c r="Y45" t="s">
        <v>39</v>
      </c>
    </row>
    <row r="46" spans="1:25" x14ac:dyDescent="0.3">
      <c r="A46">
        <v>2404</v>
      </c>
      <c r="B46" t="s">
        <v>77</v>
      </c>
      <c r="C46" t="s">
        <v>39</v>
      </c>
      <c r="D46">
        <v>18347</v>
      </c>
      <c r="E46">
        <v>12876</v>
      </c>
      <c r="F46">
        <v>9202</v>
      </c>
      <c r="G46">
        <v>1105</v>
      </c>
      <c r="H46">
        <v>7.9035833999999999E-2</v>
      </c>
      <c r="I46">
        <v>65000</v>
      </c>
      <c r="J46">
        <v>40000</v>
      </c>
      <c r="K46">
        <v>96000</v>
      </c>
      <c r="L46">
        <v>0.70180410966370521</v>
      </c>
      <c r="M46">
        <v>0.71466293880086984</v>
      </c>
      <c r="N46">
        <v>56000</v>
      </c>
      <c r="O46">
        <v>0.11955890299999999</v>
      </c>
      <c r="P46">
        <v>6439</v>
      </c>
      <c r="Q46">
        <v>2471</v>
      </c>
      <c r="R46">
        <v>789</v>
      </c>
      <c r="S46">
        <v>90000</v>
      </c>
      <c r="T46">
        <v>70000</v>
      </c>
      <c r="U46">
        <v>20000</v>
      </c>
      <c r="V46">
        <v>14955</v>
      </c>
      <c r="W46">
        <v>8407</v>
      </c>
      <c r="X46">
        <v>6548</v>
      </c>
      <c r="Y46" t="s">
        <v>39</v>
      </c>
    </row>
    <row r="47" spans="1:25" x14ac:dyDescent="0.3">
      <c r="A47">
        <v>2405</v>
      </c>
      <c r="B47" t="s">
        <v>78</v>
      </c>
      <c r="C47" t="s">
        <v>39</v>
      </c>
      <c r="D47">
        <v>188046</v>
      </c>
      <c r="E47">
        <v>131697</v>
      </c>
      <c r="F47">
        <v>109406</v>
      </c>
      <c r="G47">
        <v>6388</v>
      </c>
      <c r="H47">
        <v>4.6261361000000001E-2</v>
      </c>
      <c r="I47">
        <v>86000</v>
      </c>
      <c r="J47">
        <v>60000</v>
      </c>
      <c r="K47">
        <v>120000</v>
      </c>
      <c r="L47">
        <v>0.70034459653489045</v>
      </c>
      <c r="M47">
        <v>0.83074025983887256</v>
      </c>
      <c r="N47">
        <v>60000</v>
      </c>
      <c r="O47">
        <v>0.341630502</v>
      </c>
      <c r="P47">
        <v>18314</v>
      </c>
      <c r="Q47">
        <v>4440</v>
      </c>
      <c r="R47">
        <v>972</v>
      </c>
      <c r="S47">
        <v>102000</v>
      </c>
      <c r="T47">
        <v>90000</v>
      </c>
      <c r="U47">
        <v>12000</v>
      </c>
      <c r="V47">
        <v>32260</v>
      </c>
      <c r="W47">
        <v>21239</v>
      </c>
      <c r="X47">
        <v>11021</v>
      </c>
      <c r="Y47" t="s">
        <v>39</v>
      </c>
    </row>
    <row r="48" spans="1:25" x14ac:dyDescent="0.3">
      <c r="A48">
        <v>2406</v>
      </c>
      <c r="B48" t="s">
        <v>79</v>
      </c>
      <c r="C48" t="s">
        <v>39</v>
      </c>
      <c r="D48">
        <v>358593</v>
      </c>
      <c r="E48">
        <v>262831</v>
      </c>
      <c r="F48">
        <v>220528</v>
      </c>
      <c r="G48">
        <v>14823</v>
      </c>
      <c r="H48">
        <v>5.3386588999999998E-2</v>
      </c>
      <c r="I48">
        <v>78000</v>
      </c>
      <c r="J48">
        <v>55000</v>
      </c>
      <c r="K48">
        <v>105000</v>
      </c>
      <c r="L48">
        <v>0.73295072686862262</v>
      </c>
      <c r="M48">
        <v>0.83904866625321972</v>
      </c>
      <c r="N48">
        <v>50000</v>
      </c>
      <c r="O48">
        <v>0.22711794299999999</v>
      </c>
      <c r="P48">
        <v>28526</v>
      </c>
      <c r="Q48">
        <v>9356</v>
      </c>
      <c r="R48">
        <v>2899</v>
      </c>
      <c r="S48">
        <v>98000</v>
      </c>
      <c r="T48">
        <v>80000</v>
      </c>
      <c r="U48">
        <v>18000</v>
      </c>
      <c r="V48">
        <v>53153</v>
      </c>
      <c r="W48">
        <v>41081</v>
      </c>
      <c r="X48">
        <v>12072</v>
      </c>
      <c r="Y48" t="s">
        <v>39</v>
      </c>
    </row>
    <row r="49" spans="1:25" x14ac:dyDescent="0.3">
      <c r="A49">
        <v>2407</v>
      </c>
      <c r="B49" t="s">
        <v>80</v>
      </c>
      <c r="C49" t="s">
        <v>39</v>
      </c>
      <c r="D49">
        <v>154160</v>
      </c>
      <c r="E49">
        <v>128742</v>
      </c>
      <c r="F49">
        <v>111025</v>
      </c>
      <c r="G49">
        <v>7456</v>
      </c>
      <c r="H49">
        <v>5.4743829000000001E-2</v>
      </c>
      <c r="I49">
        <v>80000</v>
      </c>
      <c r="J49">
        <v>60000</v>
      </c>
      <c r="K49">
        <v>107000</v>
      </c>
      <c r="L49">
        <v>0.83511935651271407</v>
      </c>
      <c r="M49">
        <v>0.86238368209286786</v>
      </c>
      <c r="N49">
        <v>47000</v>
      </c>
      <c r="O49">
        <v>0.199412643</v>
      </c>
      <c r="P49">
        <v>23694</v>
      </c>
      <c r="Q49">
        <v>5721</v>
      </c>
      <c r="R49">
        <v>980</v>
      </c>
      <c r="S49">
        <v>97000</v>
      </c>
      <c r="T49">
        <v>81000</v>
      </c>
      <c r="U49">
        <v>16000</v>
      </c>
      <c r="V49">
        <v>41542</v>
      </c>
      <c r="W49">
        <v>33258</v>
      </c>
      <c r="X49">
        <v>8284</v>
      </c>
      <c r="Y49" t="s">
        <v>39</v>
      </c>
    </row>
    <row r="50" spans="1:25" x14ac:dyDescent="0.3">
      <c r="A50">
        <v>2408</v>
      </c>
      <c r="B50" t="s">
        <v>81</v>
      </c>
      <c r="C50" t="s">
        <v>39</v>
      </c>
      <c r="D50">
        <v>671647</v>
      </c>
      <c r="E50">
        <v>489965</v>
      </c>
      <c r="F50">
        <v>422317</v>
      </c>
      <c r="G50">
        <v>26064</v>
      </c>
      <c r="H50">
        <v>5.0508788999999998E-2</v>
      </c>
      <c r="I50">
        <v>88000</v>
      </c>
      <c r="J50">
        <v>60000</v>
      </c>
      <c r="K50">
        <v>116000</v>
      </c>
      <c r="L50">
        <v>0.72949778678383137</v>
      </c>
      <c r="M50">
        <v>0.86193299521394384</v>
      </c>
      <c r="N50">
        <v>56000</v>
      </c>
      <c r="O50">
        <v>0.437846874</v>
      </c>
      <c r="P50">
        <v>45829</v>
      </c>
      <c r="Q50">
        <v>10874</v>
      </c>
      <c r="R50">
        <v>3170</v>
      </c>
      <c r="S50">
        <v>106000</v>
      </c>
      <c r="T50">
        <v>90000</v>
      </c>
      <c r="U50">
        <v>16000</v>
      </c>
      <c r="V50">
        <v>81527</v>
      </c>
      <c r="W50">
        <v>65511</v>
      </c>
      <c r="X50">
        <v>16016</v>
      </c>
      <c r="Y50" t="s">
        <v>39</v>
      </c>
    </row>
    <row r="51" spans="1:25" x14ac:dyDescent="0.3">
      <c r="A51">
        <v>2409</v>
      </c>
      <c r="B51" t="s">
        <v>82</v>
      </c>
      <c r="C51" t="s">
        <v>39</v>
      </c>
      <c r="D51">
        <v>20582</v>
      </c>
      <c r="E51">
        <v>14909</v>
      </c>
      <c r="F51">
        <v>12257</v>
      </c>
      <c r="G51">
        <v>683</v>
      </c>
      <c r="H51">
        <v>4.3804515000000002E-2</v>
      </c>
      <c r="I51">
        <v>65000</v>
      </c>
      <c r="J51">
        <v>45000</v>
      </c>
      <c r="K51">
        <v>100000</v>
      </c>
      <c r="L51">
        <v>0.7243708094451462</v>
      </c>
      <c r="M51">
        <v>0.82212086659064998</v>
      </c>
      <c r="N51">
        <v>55000</v>
      </c>
      <c r="O51">
        <v>0.18398518899999999</v>
      </c>
      <c r="P51">
        <v>2439</v>
      </c>
      <c r="Q51">
        <v>947</v>
      </c>
      <c r="R51">
        <v>263</v>
      </c>
      <c r="S51">
        <v>100000</v>
      </c>
      <c r="T51">
        <v>70000</v>
      </c>
      <c r="U51">
        <v>30000</v>
      </c>
      <c r="V51">
        <v>4321</v>
      </c>
      <c r="W51">
        <v>3526</v>
      </c>
      <c r="X51">
        <v>795</v>
      </c>
      <c r="Y51" t="s">
        <v>39</v>
      </c>
    </row>
    <row r="52" spans="1:25" x14ac:dyDescent="0.3">
      <c r="A52">
        <v>2410</v>
      </c>
      <c r="B52" t="s">
        <v>83</v>
      </c>
      <c r="C52" t="s">
        <v>39</v>
      </c>
      <c r="D52">
        <v>13016</v>
      </c>
      <c r="E52">
        <v>9849</v>
      </c>
      <c r="F52">
        <v>8104</v>
      </c>
      <c r="G52">
        <v>472</v>
      </c>
      <c r="H52">
        <v>4.5732003E-2</v>
      </c>
      <c r="I52">
        <v>70000</v>
      </c>
      <c r="J52">
        <v>50000</v>
      </c>
      <c r="K52">
        <v>95000</v>
      </c>
      <c r="L52">
        <v>0.75668408113091579</v>
      </c>
      <c r="M52">
        <v>0.82282465224895929</v>
      </c>
      <c r="N52">
        <v>45000</v>
      </c>
      <c r="O52">
        <v>0.55854800900000001</v>
      </c>
      <c r="P52">
        <v>2028</v>
      </c>
      <c r="Q52">
        <v>830</v>
      </c>
      <c r="R52">
        <v>260</v>
      </c>
      <c r="S52">
        <v>81000</v>
      </c>
      <c r="T52">
        <v>71900</v>
      </c>
      <c r="U52">
        <v>9100</v>
      </c>
      <c r="V52">
        <v>4047</v>
      </c>
      <c r="W52">
        <v>2662</v>
      </c>
      <c r="X52">
        <v>1385</v>
      </c>
      <c r="Y52" t="s">
        <v>39</v>
      </c>
    </row>
    <row r="53" spans="1:25" x14ac:dyDescent="0.3">
      <c r="A53">
        <v>2411</v>
      </c>
      <c r="B53" t="s">
        <v>84</v>
      </c>
      <c r="C53" t="s">
        <v>39</v>
      </c>
      <c r="D53">
        <v>6264</v>
      </c>
      <c r="E53">
        <v>4120</v>
      </c>
      <c r="F53">
        <v>3350</v>
      </c>
      <c r="G53">
        <v>0</v>
      </c>
      <c r="H53">
        <v>0</v>
      </c>
      <c r="I53">
        <v>85000</v>
      </c>
      <c r="J53">
        <v>55000</v>
      </c>
      <c r="K53">
        <v>125000</v>
      </c>
      <c r="L53">
        <v>0.65772669220945079</v>
      </c>
      <c r="M53">
        <v>0.81310679611650483</v>
      </c>
      <c r="N53">
        <v>70000</v>
      </c>
      <c r="O53">
        <v>0.32483804999999999</v>
      </c>
      <c r="P53">
        <v>501</v>
      </c>
      <c r="Q53">
        <v>50</v>
      </c>
      <c r="R53">
        <v>49</v>
      </c>
      <c r="S53">
        <v>105000</v>
      </c>
      <c r="T53">
        <v>87000</v>
      </c>
      <c r="U53">
        <v>18000</v>
      </c>
      <c r="V53">
        <v>720</v>
      </c>
      <c r="W53">
        <v>488</v>
      </c>
      <c r="X53">
        <v>232</v>
      </c>
      <c r="Y53" t="s">
        <v>39</v>
      </c>
    </row>
    <row r="54" spans="1:25" x14ac:dyDescent="0.3">
      <c r="A54">
        <v>2412</v>
      </c>
      <c r="B54" t="s">
        <v>85</v>
      </c>
      <c r="C54" t="s">
        <v>39</v>
      </c>
      <c r="D54">
        <v>138366</v>
      </c>
      <c r="E54">
        <v>101273</v>
      </c>
      <c r="F54">
        <v>85014</v>
      </c>
      <c r="G54">
        <v>5498</v>
      </c>
      <c r="H54">
        <v>5.1493382999999997E-2</v>
      </c>
      <c r="I54">
        <v>75000</v>
      </c>
      <c r="J54">
        <v>50000</v>
      </c>
      <c r="K54">
        <v>101000</v>
      </c>
      <c r="L54">
        <v>0.73192113669543091</v>
      </c>
      <c r="M54">
        <v>0.83945375371520548</v>
      </c>
      <c r="N54">
        <v>51000</v>
      </c>
      <c r="O54">
        <v>0.34347321800000002</v>
      </c>
      <c r="P54">
        <v>8306</v>
      </c>
      <c r="Q54">
        <v>3235</v>
      </c>
      <c r="R54">
        <v>640</v>
      </c>
      <c r="S54">
        <v>98000</v>
      </c>
      <c r="T54">
        <v>76000</v>
      </c>
      <c r="U54">
        <v>22000</v>
      </c>
      <c r="V54">
        <v>18968</v>
      </c>
      <c r="W54">
        <v>12453</v>
      </c>
      <c r="X54">
        <v>6515</v>
      </c>
      <c r="Y54" t="s">
        <v>39</v>
      </c>
    </row>
    <row r="55" spans="1:25" x14ac:dyDescent="0.3">
      <c r="A55">
        <v>2413</v>
      </c>
      <c r="B55" t="s">
        <v>86</v>
      </c>
      <c r="C55" t="s">
        <v>39</v>
      </c>
      <c r="D55">
        <v>21430</v>
      </c>
      <c r="E55">
        <v>14687</v>
      </c>
      <c r="F55">
        <v>11871</v>
      </c>
      <c r="G55">
        <v>933</v>
      </c>
      <c r="H55">
        <v>5.9731114000000002E-2</v>
      </c>
      <c r="I55">
        <v>78000</v>
      </c>
      <c r="J55">
        <v>55000</v>
      </c>
      <c r="K55">
        <v>105000</v>
      </c>
      <c r="L55">
        <v>0.68534764349043398</v>
      </c>
      <c r="M55">
        <v>0.80826581330428271</v>
      </c>
      <c r="N55">
        <v>50000</v>
      </c>
      <c r="O55">
        <v>0.292607004</v>
      </c>
      <c r="P55">
        <v>1911</v>
      </c>
      <c r="Q55">
        <v>305</v>
      </c>
      <c r="R55">
        <v>70</v>
      </c>
      <c r="S55">
        <v>92000</v>
      </c>
      <c r="T55">
        <v>78000</v>
      </c>
      <c r="U55">
        <v>14000</v>
      </c>
      <c r="V55">
        <v>2993</v>
      </c>
      <c r="W55">
        <v>2020</v>
      </c>
      <c r="X55">
        <v>973</v>
      </c>
      <c r="Y55" t="s">
        <v>39</v>
      </c>
    </row>
    <row r="56" spans="1:25" x14ac:dyDescent="0.3">
      <c r="A56">
        <v>2414</v>
      </c>
      <c r="B56" t="s">
        <v>87</v>
      </c>
      <c r="C56" t="s">
        <v>39</v>
      </c>
      <c r="D56">
        <v>581529</v>
      </c>
      <c r="E56">
        <v>422207</v>
      </c>
      <c r="F56">
        <v>362053</v>
      </c>
      <c r="G56">
        <v>19360</v>
      </c>
      <c r="H56">
        <v>4.3843856E-2</v>
      </c>
      <c r="I56">
        <v>80000</v>
      </c>
      <c r="J56">
        <v>59000</v>
      </c>
      <c r="K56">
        <v>110000</v>
      </c>
      <c r="L56">
        <v>0.72602914042119993</v>
      </c>
      <c r="M56">
        <v>0.85752486339639089</v>
      </c>
      <c r="N56">
        <v>51000</v>
      </c>
      <c r="O56">
        <v>0.13979280099999999</v>
      </c>
      <c r="P56">
        <v>52844</v>
      </c>
      <c r="Q56">
        <v>16384</v>
      </c>
      <c r="R56">
        <v>3253</v>
      </c>
      <c r="S56">
        <v>100000</v>
      </c>
      <c r="T56">
        <v>82000</v>
      </c>
      <c r="U56">
        <v>18000</v>
      </c>
      <c r="V56">
        <v>91227</v>
      </c>
      <c r="W56">
        <v>80320</v>
      </c>
      <c r="X56">
        <v>10907</v>
      </c>
      <c r="Y56" t="s">
        <v>39</v>
      </c>
    </row>
    <row r="57" spans="1:25" x14ac:dyDescent="0.3">
      <c r="A57">
        <v>2415</v>
      </c>
      <c r="B57" t="s">
        <v>88</v>
      </c>
      <c r="C57" t="s">
        <v>39</v>
      </c>
      <c r="D57">
        <v>12818</v>
      </c>
      <c r="E57">
        <v>6939</v>
      </c>
      <c r="F57">
        <v>5462</v>
      </c>
      <c r="G57">
        <v>326</v>
      </c>
      <c r="H57">
        <v>4.4872677E-2</v>
      </c>
      <c r="I57">
        <v>96000</v>
      </c>
      <c r="J57">
        <v>65000</v>
      </c>
      <c r="K57">
        <v>123000</v>
      </c>
      <c r="L57">
        <v>0.54134810422842872</v>
      </c>
      <c r="M57">
        <v>0.78714512177547202</v>
      </c>
      <c r="N57">
        <v>58000</v>
      </c>
      <c r="O57">
        <v>0.153037383</v>
      </c>
      <c r="P57">
        <v>456</v>
      </c>
      <c r="Q57">
        <v>176</v>
      </c>
      <c r="R57">
        <v>0</v>
      </c>
      <c r="S57">
        <v>100000</v>
      </c>
      <c r="T57">
        <v>98000</v>
      </c>
      <c r="U57">
        <v>2000</v>
      </c>
      <c r="V57">
        <v>856</v>
      </c>
      <c r="W57">
        <v>725</v>
      </c>
      <c r="X57">
        <v>131</v>
      </c>
      <c r="Y57" t="s">
        <v>39</v>
      </c>
    </row>
    <row r="58" spans="1:25" x14ac:dyDescent="0.3">
      <c r="A58">
        <v>2416</v>
      </c>
      <c r="B58" t="s">
        <v>89</v>
      </c>
      <c r="C58" t="s">
        <v>39</v>
      </c>
      <c r="D58">
        <v>10746</v>
      </c>
      <c r="E58">
        <v>7416</v>
      </c>
      <c r="F58">
        <v>6419</v>
      </c>
      <c r="G58">
        <v>366</v>
      </c>
      <c r="H58">
        <v>4.7031611000000001E-2</v>
      </c>
      <c r="I58">
        <v>92000</v>
      </c>
      <c r="J58">
        <v>52000</v>
      </c>
      <c r="K58">
        <v>124000</v>
      </c>
      <c r="L58">
        <v>0.69011725293132331</v>
      </c>
      <c r="M58">
        <v>0.86556094929881333</v>
      </c>
      <c r="N58">
        <v>72000</v>
      </c>
      <c r="O58">
        <v>0.10185185200000001</v>
      </c>
      <c r="P58">
        <v>350</v>
      </c>
      <c r="Q58">
        <v>257</v>
      </c>
      <c r="R58">
        <v>50</v>
      </c>
      <c r="S58">
        <v>100000</v>
      </c>
      <c r="T58">
        <v>95000</v>
      </c>
      <c r="U58">
        <v>5000</v>
      </c>
      <c r="V58">
        <v>756</v>
      </c>
      <c r="W58">
        <v>679</v>
      </c>
      <c r="X58">
        <v>77</v>
      </c>
      <c r="Y58" t="s">
        <v>39</v>
      </c>
    </row>
    <row r="59" spans="1:25" x14ac:dyDescent="0.3">
      <c r="A59">
        <v>2417</v>
      </c>
      <c r="B59" t="s">
        <v>90</v>
      </c>
      <c r="C59" t="s">
        <v>39</v>
      </c>
      <c r="D59">
        <v>16094</v>
      </c>
      <c r="E59">
        <v>10690</v>
      </c>
      <c r="F59">
        <v>9226</v>
      </c>
      <c r="G59">
        <v>449</v>
      </c>
      <c r="H59">
        <v>4.0308825E-2</v>
      </c>
      <c r="I59">
        <v>97000</v>
      </c>
      <c r="J59">
        <v>60000</v>
      </c>
      <c r="K59">
        <v>125000</v>
      </c>
      <c r="L59">
        <v>0.66422269168634274</v>
      </c>
      <c r="M59">
        <v>0.86304957904583723</v>
      </c>
      <c r="N59">
        <v>65000</v>
      </c>
      <c r="O59">
        <v>0.107313196</v>
      </c>
      <c r="P59">
        <v>529</v>
      </c>
      <c r="Q59">
        <v>102</v>
      </c>
      <c r="R59">
        <v>0</v>
      </c>
      <c r="S59">
        <v>102000</v>
      </c>
      <c r="T59">
        <v>100000</v>
      </c>
      <c r="U59">
        <v>2000</v>
      </c>
      <c r="V59">
        <v>1258</v>
      </c>
      <c r="W59">
        <v>1123</v>
      </c>
      <c r="X59">
        <v>135</v>
      </c>
      <c r="Y59" t="s">
        <v>39</v>
      </c>
    </row>
    <row r="60" spans="1:25" x14ac:dyDescent="0.3">
      <c r="A60">
        <v>2418</v>
      </c>
      <c r="B60" t="s">
        <v>91</v>
      </c>
      <c r="C60" t="s">
        <v>39</v>
      </c>
      <c r="D60">
        <v>9826</v>
      </c>
      <c r="E60">
        <v>7320</v>
      </c>
      <c r="F60">
        <v>6474</v>
      </c>
      <c r="G60">
        <v>527</v>
      </c>
      <c r="H60">
        <v>6.7159423999999995E-2</v>
      </c>
      <c r="I60">
        <v>95000</v>
      </c>
      <c r="J60">
        <v>65000</v>
      </c>
      <c r="K60">
        <v>128000</v>
      </c>
      <c r="L60">
        <v>0.74496234479951151</v>
      </c>
      <c r="M60">
        <v>0.88442622950819672</v>
      </c>
      <c r="N60">
        <v>63000</v>
      </c>
      <c r="O60">
        <v>0.144966965</v>
      </c>
      <c r="P60">
        <v>1142</v>
      </c>
      <c r="Q60">
        <v>657</v>
      </c>
      <c r="R60">
        <v>244</v>
      </c>
      <c r="S60">
        <v>110000</v>
      </c>
      <c r="T60">
        <v>100000</v>
      </c>
      <c r="U60">
        <v>10000</v>
      </c>
      <c r="V60">
        <v>2573</v>
      </c>
      <c r="W60">
        <v>2200</v>
      </c>
      <c r="X60">
        <v>373</v>
      </c>
      <c r="Y60" t="s">
        <v>39</v>
      </c>
    </row>
    <row r="61" spans="1:25" x14ac:dyDescent="0.3">
      <c r="A61">
        <v>2419</v>
      </c>
      <c r="B61" t="s">
        <v>92</v>
      </c>
      <c r="C61" t="s">
        <v>39</v>
      </c>
      <c r="D61">
        <v>19631</v>
      </c>
      <c r="E61">
        <v>14002</v>
      </c>
      <c r="F61">
        <v>11636</v>
      </c>
      <c r="G61">
        <v>617</v>
      </c>
      <c r="H61">
        <v>4.2205349000000003E-2</v>
      </c>
      <c r="I61">
        <v>125000</v>
      </c>
      <c r="J61">
        <v>75000</v>
      </c>
      <c r="K61">
        <v>210000</v>
      </c>
      <c r="L61">
        <v>0.71325964036472922</v>
      </c>
      <c r="M61">
        <v>0.83102413940865594</v>
      </c>
      <c r="N61">
        <v>135000</v>
      </c>
      <c r="O61">
        <v>0.120564344</v>
      </c>
      <c r="P61">
        <v>1534</v>
      </c>
      <c r="Q61">
        <v>364</v>
      </c>
      <c r="R61">
        <v>193</v>
      </c>
      <c r="S61">
        <v>124000</v>
      </c>
      <c r="T61">
        <v>126000</v>
      </c>
      <c r="U61">
        <v>-2000</v>
      </c>
      <c r="V61">
        <v>2339</v>
      </c>
      <c r="W61">
        <v>2057</v>
      </c>
      <c r="X61">
        <v>282</v>
      </c>
      <c r="Y61" t="s">
        <v>39</v>
      </c>
    </row>
    <row r="62" spans="1:25" x14ac:dyDescent="0.3">
      <c r="A62">
        <v>2499</v>
      </c>
      <c r="B62" t="s">
        <v>93</v>
      </c>
      <c r="C62" t="s">
        <v>39</v>
      </c>
      <c r="D62">
        <v>57006</v>
      </c>
      <c r="E62">
        <v>43906</v>
      </c>
      <c r="F62">
        <v>37194</v>
      </c>
      <c r="G62">
        <v>2744</v>
      </c>
      <c r="H62">
        <v>5.8821008000000001E-2</v>
      </c>
      <c r="I62">
        <v>70000</v>
      </c>
      <c r="J62">
        <v>50000</v>
      </c>
      <c r="K62">
        <v>100000</v>
      </c>
      <c r="L62">
        <v>0.77019962810932185</v>
      </c>
      <c r="M62">
        <v>0.84712795517696893</v>
      </c>
      <c r="N62">
        <v>50000</v>
      </c>
      <c r="O62">
        <v>0.18997043699999999</v>
      </c>
      <c r="P62">
        <v>3445</v>
      </c>
      <c r="Q62">
        <v>2426</v>
      </c>
      <c r="R62">
        <v>365</v>
      </c>
      <c r="S62">
        <v>90000</v>
      </c>
      <c r="T62">
        <v>70000</v>
      </c>
      <c r="U62">
        <v>20000</v>
      </c>
      <c r="V62">
        <v>9133</v>
      </c>
      <c r="W62">
        <v>7398</v>
      </c>
      <c r="X62">
        <v>1735</v>
      </c>
      <c r="Y62" t="s">
        <v>39</v>
      </c>
    </row>
    <row r="63" spans="1:25" x14ac:dyDescent="0.3">
      <c r="A63">
        <v>2500</v>
      </c>
      <c r="B63" t="s">
        <v>94</v>
      </c>
      <c r="C63" t="s">
        <v>39</v>
      </c>
      <c r="D63">
        <v>37382</v>
      </c>
      <c r="E63">
        <v>30102</v>
      </c>
      <c r="F63">
        <v>25651</v>
      </c>
      <c r="G63">
        <v>1475</v>
      </c>
      <c r="H63">
        <v>4.6711214000000001E-2</v>
      </c>
      <c r="I63">
        <v>63000</v>
      </c>
      <c r="J63">
        <v>40000</v>
      </c>
      <c r="K63">
        <v>93000</v>
      </c>
      <c r="L63">
        <v>0.80525386549676314</v>
      </c>
      <c r="M63">
        <v>0.85213607069297725</v>
      </c>
      <c r="N63">
        <v>53000</v>
      </c>
      <c r="O63">
        <v>9.0712508999999997E-2</v>
      </c>
      <c r="P63">
        <v>1017</v>
      </c>
      <c r="Q63">
        <v>1269</v>
      </c>
      <c r="R63">
        <v>142</v>
      </c>
      <c r="S63">
        <v>74000</v>
      </c>
      <c r="T63">
        <v>65000</v>
      </c>
      <c r="U63">
        <v>9000</v>
      </c>
      <c r="V63">
        <v>3600</v>
      </c>
      <c r="W63">
        <v>2695</v>
      </c>
      <c r="X63">
        <v>905</v>
      </c>
      <c r="Y63" t="s">
        <v>39</v>
      </c>
    </row>
    <row r="64" spans="1:25" x14ac:dyDescent="0.3">
      <c r="A64">
        <v>2501</v>
      </c>
      <c r="B64" t="s">
        <v>95</v>
      </c>
      <c r="C64" t="s">
        <v>39</v>
      </c>
      <c r="D64">
        <v>47098</v>
      </c>
      <c r="E64">
        <v>27275</v>
      </c>
      <c r="F64">
        <v>22104</v>
      </c>
      <c r="G64">
        <v>1577</v>
      </c>
      <c r="H64">
        <v>5.4658256000000002E-2</v>
      </c>
      <c r="I64">
        <v>74000</v>
      </c>
      <c r="J64">
        <v>50000</v>
      </c>
      <c r="K64">
        <v>107000</v>
      </c>
      <c r="L64">
        <v>0.57911163956006628</v>
      </c>
      <c r="M64">
        <v>0.8104124656278644</v>
      </c>
      <c r="N64">
        <v>57000</v>
      </c>
      <c r="O64">
        <v>0.17412250500000001</v>
      </c>
      <c r="P64">
        <v>482</v>
      </c>
      <c r="Q64">
        <v>844</v>
      </c>
      <c r="R64">
        <v>245</v>
      </c>
      <c r="S64">
        <v>107000</v>
      </c>
      <c r="T64">
        <v>75000</v>
      </c>
      <c r="U64">
        <v>32000</v>
      </c>
      <c r="V64">
        <v>2906</v>
      </c>
      <c r="W64">
        <v>2400</v>
      </c>
      <c r="X64">
        <v>506</v>
      </c>
      <c r="Y64" t="s">
        <v>39</v>
      </c>
    </row>
    <row r="65" spans="1:25" x14ac:dyDescent="0.3">
      <c r="A65">
        <v>2502</v>
      </c>
      <c r="B65" t="s">
        <v>96</v>
      </c>
      <c r="C65" t="s">
        <v>39</v>
      </c>
      <c r="D65">
        <v>94697</v>
      </c>
      <c r="E65">
        <v>73737</v>
      </c>
      <c r="F65">
        <v>64157</v>
      </c>
      <c r="G65">
        <v>4572</v>
      </c>
      <c r="H65">
        <v>5.8384093999999997E-2</v>
      </c>
      <c r="I65">
        <v>67000</v>
      </c>
      <c r="J65">
        <v>46900</v>
      </c>
      <c r="K65">
        <v>91000</v>
      </c>
      <c r="L65">
        <v>0.77866247082800932</v>
      </c>
      <c r="M65">
        <v>0.87007879355004947</v>
      </c>
      <c r="N65">
        <v>44100</v>
      </c>
      <c r="O65">
        <v>0.32509188100000003</v>
      </c>
      <c r="P65">
        <v>5126</v>
      </c>
      <c r="Q65">
        <v>2686</v>
      </c>
      <c r="R65">
        <v>696</v>
      </c>
      <c r="S65">
        <v>85000</v>
      </c>
      <c r="T65">
        <v>68000</v>
      </c>
      <c r="U65">
        <v>17000</v>
      </c>
      <c r="V65">
        <v>11565</v>
      </c>
      <c r="W65">
        <v>8181</v>
      </c>
      <c r="X65">
        <v>3384</v>
      </c>
      <c r="Y65" t="s">
        <v>39</v>
      </c>
    </row>
    <row r="66" spans="1:25" x14ac:dyDescent="0.3">
      <c r="A66">
        <v>2503</v>
      </c>
      <c r="B66" t="s">
        <v>97</v>
      </c>
      <c r="C66" t="s">
        <v>39</v>
      </c>
      <c r="D66">
        <v>82142</v>
      </c>
      <c r="E66">
        <v>65401</v>
      </c>
      <c r="F66">
        <v>57266</v>
      </c>
      <c r="G66">
        <v>3431</v>
      </c>
      <c r="H66">
        <v>4.9846002E-2</v>
      </c>
      <c r="I66">
        <v>70000</v>
      </c>
      <c r="J66">
        <v>48000</v>
      </c>
      <c r="K66">
        <v>98000</v>
      </c>
      <c r="L66">
        <v>0.79619439507194856</v>
      </c>
      <c r="M66">
        <v>0.87561352272901027</v>
      </c>
      <c r="N66">
        <v>50000</v>
      </c>
      <c r="O66">
        <v>0.75047258999999999</v>
      </c>
      <c r="P66">
        <v>1394</v>
      </c>
      <c r="Q66">
        <v>2454</v>
      </c>
      <c r="R66">
        <v>480</v>
      </c>
      <c r="S66">
        <v>84500</v>
      </c>
      <c r="T66">
        <v>70000</v>
      </c>
      <c r="U66">
        <v>14500</v>
      </c>
      <c r="V66">
        <v>4631</v>
      </c>
      <c r="W66">
        <v>3477</v>
      </c>
      <c r="X66">
        <v>1154</v>
      </c>
      <c r="Y66" t="s">
        <v>39</v>
      </c>
    </row>
    <row r="67" spans="1:25" x14ac:dyDescent="0.3">
      <c r="A67">
        <v>2504</v>
      </c>
      <c r="B67" t="s">
        <v>98</v>
      </c>
      <c r="C67" t="s">
        <v>39</v>
      </c>
      <c r="D67">
        <v>29348</v>
      </c>
      <c r="E67">
        <v>24190</v>
      </c>
      <c r="F67">
        <v>21273</v>
      </c>
      <c r="G67">
        <v>1101</v>
      </c>
      <c r="H67">
        <v>4.3533272999999997E-2</v>
      </c>
      <c r="I67">
        <v>60000</v>
      </c>
      <c r="J67">
        <v>40000</v>
      </c>
      <c r="K67">
        <v>82000</v>
      </c>
      <c r="L67">
        <v>0.82424696742537817</v>
      </c>
      <c r="M67">
        <v>0.87941298057048367</v>
      </c>
      <c r="N67">
        <v>42000</v>
      </c>
      <c r="O67">
        <v>0.37743732600000002</v>
      </c>
      <c r="P67">
        <v>1861</v>
      </c>
      <c r="Q67">
        <v>2121</v>
      </c>
      <c r="R67">
        <v>406</v>
      </c>
      <c r="S67">
        <v>78000</v>
      </c>
      <c r="T67">
        <v>61000</v>
      </c>
      <c r="U67">
        <v>17000</v>
      </c>
      <c r="V67">
        <v>4790</v>
      </c>
      <c r="W67">
        <v>4419</v>
      </c>
      <c r="X67">
        <v>371</v>
      </c>
      <c r="Y67" t="s">
        <v>39</v>
      </c>
    </row>
    <row r="68" spans="1:25" x14ac:dyDescent="0.3">
      <c r="A68">
        <v>2599</v>
      </c>
      <c r="B68" t="s">
        <v>99</v>
      </c>
      <c r="C68" t="s">
        <v>39</v>
      </c>
      <c r="D68">
        <v>64196</v>
      </c>
      <c r="E68">
        <v>53097</v>
      </c>
      <c r="F68">
        <v>46183</v>
      </c>
      <c r="G68">
        <v>3401</v>
      </c>
      <c r="H68">
        <v>6.0196820999999998E-2</v>
      </c>
      <c r="I68">
        <v>63000</v>
      </c>
      <c r="J68">
        <v>42000</v>
      </c>
      <c r="K68">
        <v>90000</v>
      </c>
      <c r="L68">
        <v>0.82710760795065108</v>
      </c>
      <c r="M68">
        <v>0.86978548693899849</v>
      </c>
      <c r="N68">
        <v>48000</v>
      </c>
      <c r="O68">
        <v>0</v>
      </c>
      <c r="P68">
        <v>2446</v>
      </c>
      <c r="Q68">
        <v>3896</v>
      </c>
      <c r="R68">
        <v>386</v>
      </c>
      <c r="S68">
        <v>80000</v>
      </c>
      <c r="T68">
        <v>65000</v>
      </c>
      <c r="U68">
        <v>15000</v>
      </c>
      <c r="V68">
        <v>8804</v>
      </c>
      <c r="W68">
        <v>7043</v>
      </c>
      <c r="X68">
        <v>1761</v>
      </c>
      <c r="Y68" t="s">
        <v>39</v>
      </c>
    </row>
    <row r="69" spans="1:25" x14ac:dyDescent="0.3">
      <c r="A69">
        <v>2601</v>
      </c>
      <c r="B69" t="s">
        <v>100</v>
      </c>
      <c r="C69" t="s">
        <v>41</v>
      </c>
      <c r="D69">
        <v>75791</v>
      </c>
      <c r="E69">
        <v>45657</v>
      </c>
      <c r="F69">
        <v>30428</v>
      </c>
      <c r="G69">
        <v>4043</v>
      </c>
      <c r="H69">
        <v>8.1348088999999998E-2</v>
      </c>
      <c r="I69">
        <v>48000</v>
      </c>
      <c r="J69">
        <v>30000</v>
      </c>
      <c r="K69">
        <v>70000</v>
      </c>
      <c r="L69">
        <v>0.60240661820005015</v>
      </c>
      <c r="M69">
        <v>0.66644764220163388</v>
      </c>
      <c r="N69">
        <v>40000</v>
      </c>
      <c r="O69">
        <v>0.76432029000000001</v>
      </c>
      <c r="P69">
        <v>4122</v>
      </c>
      <c r="Q69">
        <v>5695</v>
      </c>
      <c r="R69">
        <v>2085</v>
      </c>
      <c r="S69">
        <v>65000</v>
      </c>
      <c r="T69">
        <v>49000</v>
      </c>
      <c r="U69">
        <v>16000</v>
      </c>
      <c r="Y69" t="s">
        <v>41</v>
      </c>
    </row>
    <row r="70" spans="1:25" x14ac:dyDescent="0.3">
      <c r="A70">
        <v>2602</v>
      </c>
      <c r="B70" t="s">
        <v>101</v>
      </c>
      <c r="C70" t="s">
        <v>41</v>
      </c>
      <c r="D70">
        <v>236342</v>
      </c>
      <c r="E70">
        <v>153654</v>
      </c>
      <c r="F70">
        <v>99459</v>
      </c>
      <c r="G70">
        <v>9598</v>
      </c>
      <c r="H70">
        <v>5.8792542000000003E-2</v>
      </c>
      <c r="I70">
        <v>48000</v>
      </c>
      <c r="J70">
        <v>33500</v>
      </c>
      <c r="K70">
        <v>69000</v>
      </c>
      <c r="L70">
        <v>0.65013412766245526</v>
      </c>
      <c r="M70">
        <v>0.64729196766761687</v>
      </c>
      <c r="N70">
        <v>35500</v>
      </c>
      <c r="O70">
        <v>0.72803259099999995</v>
      </c>
      <c r="P70">
        <v>15051</v>
      </c>
      <c r="Q70">
        <v>18193</v>
      </c>
      <c r="R70">
        <v>5267</v>
      </c>
      <c r="S70">
        <v>67000</v>
      </c>
      <c r="T70">
        <v>50000</v>
      </c>
      <c r="U70">
        <v>17000</v>
      </c>
      <c r="Y70" t="s">
        <v>41</v>
      </c>
    </row>
    <row r="71" spans="1:25" x14ac:dyDescent="0.3">
      <c r="A71">
        <v>2603</v>
      </c>
      <c r="B71" t="s">
        <v>102</v>
      </c>
      <c r="C71" t="s">
        <v>41</v>
      </c>
      <c r="D71">
        <v>57793</v>
      </c>
      <c r="E71">
        <v>34696</v>
      </c>
      <c r="F71">
        <v>23046</v>
      </c>
      <c r="G71">
        <v>2707</v>
      </c>
      <c r="H71">
        <v>7.2373874000000005E-2</v>
      </c>
      <c r="I71">
        <v>45000</v>
      </c>
      <c r="J71">
        <v>30000</v>
      </c>
      <c r="K71">
        <v>75000</v>
      </c>
      <c r="L71">
        <v>0.60034952329866942</v>
      </c>
      <c r="M71">
        <v>0.66422642379525021</v>
      </c>
      <c r="N71">
        <v>45000</v>
      </c>
      <c r="O71">
        <v>0.69011067500000001</v>
      </c>
      <c r="P71">
        <v>2326</v>
      </c>
      <c r="Q71">
        <v>3703</v>
      </c>
      <c r="R71">
        <v>1115</v>
      </c>
      <c r="S71">
        <v>68000</v>
      </c>
      <c r="T71">
        <v>47000</v>
      </c>
      <c r="U71">
        <v>21000</v>
      </c>
      <c r="Y71" t="s">
        <v>41</v>
      </c>
    </row>
    <row r="72" spans="1:25" x14ac:dyDescent="0.3">
      <c r="A72">
        <v>2901</v>
      </c>
      <c r="B72" t="s">
        <v>103</v>
      </c>
      <c r="C72" t="s">
        <v>56</v>
      </c>
      <c r="D72">
        <v>402038</v>
      </c>
      <c r="E72">
        <v>241585</v>
      </c>
      <c r="F72">
        <v>154167</v>
      </c>
      <c r="G72">
        <v>14273</v>
      </c>
      <c r="H72">
        <v>5.5784848999999997E-2</v>
      </c>
      <c r="I72">
        <v>40500</v>
      </c>
      <c r="J72">
        <v>30000</v>
      </c>
      <c r="K72">
        <v>60000</v>
      </c>
      <c r="L72">
        <v>0.60090090986424172</v>
      </c>
      <c r="M72">
        <v>0.63814806382846612</v>
      </c>
      <c r="N72">
        <v>30000</v>
      </c>
      <c r="O72">
        <v>0.75214388399999998</v>
      </c>
      <c r="P72">
        <v>20985</v>
      </c>
      <c r="Q72">
        <v>20133</v>
      </c>
      <c r="R72">
        <v>5248</v>
      </c>
      <c r="S72">
        <v>58000</v>
      </c>
      <c r="T72">
        <v>42000</v>
      </c>
      <c r="U72">
        <v>16000</v>
      </c>
      <c r="Y72" t="s">
        <v>56</v>
      </c>
    </row>
    <row r="73" spans="1:25" x14ac:dyDescent="0.3">
      <c r="A73">
        <v>3201</v>
      </c>
      <c r="B73" t="s">
        <v>104</v>
      </c>
      <c r="C73" t="s">
        <v>105</v>
      </c>
      <c r="D73">
        <v>9330</v>
      </c>
      <c r="E73">
        <v>7270</v>
      </c>
      <c r="F73">
        <v>6143</v>
      </c>
      <c r="G73">
        <v>518</v>
      </c>
      <c r="H73">
        <v>6.6512583E-2</v>
      </c>
      <c r="I73">
        <v>50000</v>
      </c>
      <c r="J73">
        <v>34000</v>
      </c>
      <c r="K73">
        <v>75000</v>
      </c>
      <c r="L73">
        <v>0.77920685959271163</v>
      </c>
      <c r="M73">
        <v>0.84497936726272349</v>
      </c>
      <c r="N73">
        <v>41000</v>
      </c>
      <c r="O73">
        <v>0.236062718</v>
      </c>
      <c r="P73">
        <v>402</v>
      </c>
      <c r="Q73">
        <v>528</v>
      </c>
      <c r="R73">
        <v>144</v>
      </c>
      <c r="S73">
        <v>75000</v>
      </c>
      <c r="T73">
        <v>50000</v>
      </c>
      <c r="U73">
        <v>25000</v>
      </c>
      <c r="Y73" t="s">
        <v>105</v>
      </c>
    </row>
    <row r="74" spans="1:25" x14ac:dyDescent="0.3">
      <c r="A74">
        <v>3202</v>
      </c>
      <c r="B74" t="s">
        <v>106</v>
      </c>
      <c r="C74" t="s">
        <v>105</v>
      </c>
      <c r="D74">
        <v>67037</v>
      </c>
      <c r="E74">
        <v>49259</v>
      </c>
      <c r="F74">
        <v>37254</v>
      </c>
      <c r="G74">
        <v>3699</v>
      </c>
      <c r="H74">
        <v>6.9847803999999999E-2</v>
      </c>
      <c r="I74">
        <v>48000</v>
      </c>
      <c r="J74">
        <v>34000</v>
      </c>
      <c r="K74">
        <v>70000</v>
      </c>
      <c r="L74">
        <v>0.73480316839954052</v>
      </c>
      <c r="M74">
        <v>0.75628819099047895</v>
      </c>
      <c r="N74">
        <v>36000</v>
      </c>
      <c r="O74">
        <v>0.59100101100000002</v>
      </c>
      <c r="P74">
        <v>2002</v>
      </c>
      <c r="Q74">
        <v>6454</v>
      </c>
      <c r="R74">
        <v>1336</v>
      </c>
      <c r="S74">
        <v>76000</v>
      </c>
      <c r="T74">
        <v>50000</v>
      </c>
      <c r="U74">
        <v>26000</v>
      </c>
      <c r="Y74" t="s">
        <v>105</v>
      </c>
    </row>
    <row r="75" spans="1:25" x14ac:dyDescent="0.3">
      <c r="A75">
        <v>3301</v>
      </c>
      <c r="B75" t="s">
        <v>107</v>
      </c>
      <c r="C75" t="s">
        <v>41</v>
      </c>
      <c r="D75">
        <v>1098647</v>
      </c>
      <c r="E75">
        <v>708882</v>
      </c>
      <c r="F75">
        <v>482229</v>
      </c>
      <c r="G75">
        <v>52248</v>
      </c>
      <c r="H75">
        <v>6.8645304000000004E-2</v>
      </c>
      <c r="I75">
        <v>50000</v>
      </c>
      <c r="J75">
        <v>32900</v>
      </c>
      <c r="K75">
        <v>75000</v>
      </c>
      <c r="L75">
        <v>0.645231816953034</v>
      </c>
      <c r="M75">
        <v>0.68026695557229555</v>
      </c>
      <c r="N75">
        <v>42100</v>
      </c>
      <c r="O75">
        <v>0.33967098200000001</v>
      </c>
      <c r="P75">
        <v>57690</v>
      </c>
      <c r="Q75">
        <v>71827</v>
      </c>
      <c r="R75">
        <v>26503</v>
      </c>
      <c r="S75">
        <v>67000</v>
      </c>
      <c r="T75">
        <v>50000</v>
      </c>
      <c r="U75">
        <v>17000</v>
      </c>
      <c r="Y75" t="s">
        <v>41</v>
      </c>
    </row>
    <row r="76" spans="1:25" x14ac:dyDescent="0.3">
      <c r="A76">
        <v>3302</v>
      </c>
      <c r="B76" t="s">
        <v>108</v>
      </c>
      <c r="C76" t="s">
        <v>41</v>
      </c>
      <c r="D76">
        <v>59211</v>
      </c>
      <c r="E76">
        <v>44913</v>
      </c>
      <c r="F76">
        <v>29628</v>
      </c>
      <c r="G76">
        <v>3569</v>
      </c>
      <c r="H76">
        <v>7.3614949999999998E-2</v>
      </c>
      <c r="I76">
        <v>40000</v>
      </c>
      <c r="J76">
        <v>28800</v>
      </c>
      <c r="K76">
        <v>65000</v>
      </c>
      <c r="L76">
        <v>0.75852459846987885</v>
      </c>
      <c r="M76">
        <v>0.65967537238661411</v>
      </c>
      <c r="N76">
        <v>36200</v>
      </c>
      <c r="O76">
        <v>0.666119448</v>
      </c>
      <c r="P76">
        <v>4855</v>
      </c>
      <c r="Q76">
        <v>8100</v>
      </c>
      <c r="R76">
        <v>3466</v>
      </c>
      <c r="S76">
        <v>58000</v>
      </c>
      <c r="T76">
        <v>42000</v>
      </c>
      <c r="U76">
        <v>16000</v>
      </c>
      <c r="Y76" t="s">
        <v>41</v>
      </c>
    </row>
    <row r="77" spans="1:25" x14ac:dyDescent="0.3">
      <c r="A77">
        <v>3401</v>
      </c>
      <c r="B77" t="s">
        <v>109</v>
      </c>
      <c r="C77" t="s">
        <v>41</v>
      </c>
      <c r="D77">
        <v>601221</v>
      </c>
      <c r="E77">
        <v>404932</v>
      </c>
      <c r="F77">
        <v>296792</v>
      </c>
      <c r="G77">
        <v>29348</v>
      </c>
      <c r="H77">
        <v>6.7578521000000003E-2</v>
      </c>
      <c r="I77">
        <v>50000</v>
      </c>
      <c r="J77">
        <v>33000</v>
      </c>
      <c r="K77">
        <v>75000</v>
      </c>
      <c r="L77">
        <v>0.67351606148155174</v>
      </c>
      <c r="M77">
        <v>0.73294281508994108</v>
      </c>
      <c r="N77">
        <v>42000</v>
      </c>
      <c r="O77">
        <v>0.70089842999999996</v>
      </c>
      <c r="P77">
        <v>18565</v>
      </c>
      <c r="Q77">
        <v>28558</v>
      </c>
      <c r="R77">
        <v>9030</v>
      </c>
      <c r="S77">
        <v>70000</v>
      </c>
      <c r="T77">
        <v>50000</v>
      </c>
      <c r="U77">
        <v>20000</v>
      </c>
      <c r="Y77" t="s">
        <v>41</v>
      </c>
    </row>
    <row r="78" spans="1:25" x14ac:dyDescent="0.3">
      <c r="A78">
        <v>3402</v>
      </c>
      <c r="B78" t="s">
        <v>110</v>
      </c>
      <c r="C78" t="s">
        <v>41</v>
      </c>
      <c r="D78">
        <v>46188</v>
      </c>
      <c r="E78">
        <v>29971</v>
      </c>
      <c r="F78">
        <v>19460</v>
      </c>
      <c r="G78">
        <v>2530</v>
      </c>
      <c r="H78">
        <v>7.7843758999999998E-2</v>
      </c>
      <c r="I78">
        <v>46700</v>
      </c>
      <c r="J78">
        <v>30000</v>
      </c>
      <c r="K78">
        <v>70000</v>
      </c>
      <c r="L78">
        <v>0.6488914869663116</v>
      </c>
      <c r="M78">
        <v>0.64929431784057923</v>
      </c>
      <c r="N78">
        <v>40000</v>
      </c>
      <c r="O78">
        <v>0.74566153800000001</v>
      </c>
      <c r="P78">
        <v>1168</v>
      </c>
      <c r="Q78">
        <v>3354</v>
      </c>
      <c r="R78">
        <v>1141</v>
      </c>
      <c r="S78">
        <v>65000</v>
      </c>
      <c r="T78">
        <v>47000</v>
      </c>
      <c r="U78">
        <v>18000</v>
      </c>
      <c r="Y78" t="s">
        <v>41</v>
      </c>
    </row>
    <row r="79" spans="1:25" x14ac:dyDescent="0.3">
      <c r="A79">
        <v>3501</v>
      </c>
      <c r="B79" t="s">
        <v>111</v>
      </c>
      <c r="C79" t="s">
        <v>58</v>
      </c>
      <c r="D79">
        <v>16193</v>
      </c>
      <c r="E79">
        <v>7091</v>
      </c>
      <c r="F79">
        <v>4330</v>
      </c>
      <c r="G79">
        <v>743</v>
      </c>
      <c r="H79">
        <v>9.4842992000000001E-2</v>
      </c>
      <c r="I79">
        <v>40000</v>
      </c>
      <c r="J79">
        <v>30000</v>
      </c>
      <c r="K79">
        <v>55000</v>
      </c>
      <c r="L79">
        <v>0.43790526770826899</v>
      </c>
      <c r="M79">
        <v>0.61063319701029473</v>
      </c>
      <c r="N79">
        <v>25000</v>
      </c>
      <c r="O79">
        <v>0.87795992700000003</v>
      </c>
      <c r="P79">
        <v>288</v>
      </c>
      <c r="Q79">
        <v>338</v>
      </c>
      <c r="R79">
        <v>192</v>
      </c>
      <c r="S79">
        <v>52000</v>
      </c>
      <c r="T79">
        <v>40000</v>
      </c>
      <c r="U79">
        <v>12000</v>
      </c>
      <c r="Y79" t="s">
        <v>58</v>
      </c>
    </row>
    <row r="80" spans="1:25" x14ac:dyDescent="0.3">
      <c r="A80">
        <v>3600</v>
      </c>
      <c r="B80" t="s">
        <v>112</v>
      </c>
      <c r="C80" t="s">
        <v>35</v>
      </c>
      <c r="D80">
        <v>839454</v>
      </c>
      <c r="E80">
        <v>583079</v>
      </c>
      <c r="F80">
        <v>422788</v>
      </c>
      <c r="G80">
        <v>36757</v>
      </c>
      <c r="H80">
        <v>5.930117E-2</v>
      </c>
      <c r="I80">
        <v>51000</v>
      </c>
      <c r="J80">
        <v>35000</v>
      </c>
      <c r="K80">
        <v>80000</v>
      </c>
      <c r="L80">
        <v>0.6945931522156068</v>
      </c>
      <c r="M80">
        <v>0.72509557024005322</v>
      </c>
      <c r="N80">
        <v>45000</v>
      </c>
      <c r="O80">
        <v>0.60185815200000004</v>
      </c>
      <c r="P80">
        <v>88232</v>
      </c>
      <c r="Q80">
        <v>81109</v>
      </c>
      <c r="R80">
        <v>28339</v>
      </c>
      <c r="S80">
        <v>95000</v>
      </c>
      <c r="T80">
        <v>54000</v>
      </c>
      <c r="U80">
        <v>41000</v>
      </c>
      <c r="V80">
        <v>280709</v>
      </c>
      <c r="W80">
        <v>111762</v>
      </c>
      <c r="X80">
        <v>168947</v>
      </c>
      <c r="Y80" t="s">
        <v>35</v>
      </c>
    </row>
    <row r="81" spans="1:25" x14ac:dyDescent="0.3">
      <c r="A81">
        <v>3601</v>
      </c>
      <c r="B81" t="s">
        <v>113</v>
      </c>
      <c r="C81" t="s">
        <v>35</v>
      </c>
      <c r="D81">
        <v>75322</v>
      </c>
      <c r="E81">
        <v>52594</v>
      </c>
      <c r="F81">
        <v>37103</v>
      </c>
      <c r="G81">
        <v>4056</v>
      </c>
      <c r="H81">
        <v>7.1597528999999993E-2</v>
      </c>
      <c r="I81">
        <v>53000</v>
      </c>
      <c r="J81">
        <v>33000</v>
      </c>
      <c r="K81">
        <v>82000</v>
      </c>
      <c r="L81">
        <v>0.6982554897639468</v>
      </c>
      <c r="M81">
        <v>0.70546069893904251</v>
      </c>
      <c r="N81">
        <v>49000</v>
      </c>
      <c r="O81">
        <v>0.51540644899999999</v>
      </c>
      <c r="P81">
        <v>15654</v>
      </c>
      <c r="Q81">
        <v>8394</v>
      </c>
      <c r="R81">
        <v>3012</v>
      </c>
      <c r="S81">
        <v>96000</v>
      </c>
      <c r="T81">
        <v>55000</v>
      </c>
      <c r="U81">
        <v>41000</v>
      </c>
      <c r="V81">
        <v>39107</v>
      </c>
      <c r="W81">
        <v>18951</v>
      </c>
      <c r="X81">
        <v>20156</v>
      </c>
      <c r="Y81" t="s">
        <v>35</v>
      </c>
    </row>
    <row r="82" spans="1:25" x14ac:dyDescent="0.3">
      <c r="A82">
        <v>3602</v>
      </c>
      <c r="B82" t="s">
        <v>114</v>
      </c>
      <c r="C82" t="s">
        <v>35</v>
      </c>
      <c r="D82">
        <v>14135</v>
      </c>
      <c r="E82">
        <v>9284</v>
      </c>
      <c r="F82">
        <v>6333</v>
      </c>
      <c r="G82">
        <v>327</v>
      </c>
      <c r="H82">
        <v>3.4023514999999997E-2</v>
      </c>
      <c r="I82">
        <v>50000</v>
      </c>
      <c r="J82">
        <v>32000</v>
      </c>
      <c r="K82">
        <v>75000</v>
      </c>
      <c r="L82">
        <v>0.65680933852140078</v>
      </c>
      <c r="M82">
        <v>0.68214131839724257</v>
      </c>
      <c r="N82">
        <v>43000</v>
      </c>
      <c r="O82">
        <v>0.52896915</v>
      </c>
      <c r="P82">
        <v>677</v>
      </c>
      <c r="Q82">
        <v>184</v>
      </c>
      <c r="R82">
        <v>56</v>
      </c>
      <c r="S82">
        <v>70000</v>
      </c>
      <c r="T82">
        <v>50000</v>
      </c>
      <c r="U82">
        <v>20000</v>
      </c>
      <c r="V82">
        <v>1329</v>
      </c>
      <c r="W82">
        <v>626</v>
      </c>
      <c r="X82">
        <v>703</v>
      </c>
      <c r="Y82" t="s">
        <v>35</v>
      </c>
    </row>
    <row r="83" spans="1:25" x14ac:dyDescent="0.3">
      <c r="A83">
        <v>3603</v>
      </c>
      <c r="B83" t="s">
        <v>115</v>
      </c>
      <c r="C83" t="s">
        <v>35</v>
      </c>
      <c r="D83">
        <v>28197</v>
      </c>
      <c r="E83">
        <v>20221</v>
      </c>
      <c r="F83">
        <v>13366</v>
      </c>
      <c r="G83">
        <v>1303</v>
      </c>
      <c r="H83">
        <v>6.0537075000000003E-2</v>
      </c>
      <c r="I83">
        <v>45000</v>
      </c>
      <c r="J83">
        <v>30000</v>
      </c>
      <c r="K83">
        <v>70000</v>
      </c>
      <c r="L83">
        <v>0.71713302833634784</v>
      </c>
      <c r="M83">
        <v>0.66099599426338951</v>
      </c>
      <c r="N83">
        <v>40000</v>
      </c>
      <c r="O83">
        <v>7.7453026999999994E-2</v>
      </c>
      <c r="P83">
        <v>7225</v>
      </c>
      <c r="Q83">
        <v>3145</v>
      </c>
      <c r="R83">
        <v>1168</v>
      </c>
      <c r="S83">
        <v>85000</v>
      </c>
      <c r="T83">
        <v>50000</v>
      </c>
      <c r="U83">
        <v>35000</v>
      </c>
      <c r="V83">
        <v>18300</v>
      </c>
      <c r="W83">
        <v>7426</v>
      </c>
      <c r="X83">
        <v>10874</v>
      </c>
      <c r="Y83" t="s">
        <v>35</v>
      </c>
    </row>
    <row r="84" spans="1:25" x14ac:dyDescent="0.3">
      <c r="A84">
        <v>3604</v>
      </c>
      <c r="B84" t="s">
        <v>116</v>
      </c>
      <c r="C84" t="s">
        <v>35</v>
      </c>
      <c r="D84">
        <v>45368</v>
      </c>
      <c r="E84">
        <v>36708</v>
      </c>
      <c r="F84">
        <v>25677</v>
      </c>
      <c r="G84">
        <v>1888</v>
      </c>
      <c r="H84">
        <v>4.8916986000000003E-2</v>
      </c>
      <c r="I84">
        <v>47500</v>
      </c>
      <c r="J84">
        <v>32000</v>
      </c>
      <c r="K84">
        <v>73000</v>
      </c>
      <c r="L84">
        <v>0.80911655792629167</v>
      </c>
      <c r="M84">
        <v>0.69949329846355013</v>
      </c>
      <c r="N84">
        <v>41000</v>
      </c>
      <c r="O84">
        <v>0.65165990799999995</v>
      </c>
      <c r="P84">
        <v>2856</v>
      </c>
      <c r="Q84">
        <v>4159</v>
      </c>
      <c r="R84">
        <v>976</v>
      </c>
      <c r="S84">
        <v>62000</v>
      </c>
      <c r="T84">
        <v>48700</v>
      </c>
      <c r="U84">
        <v>13300</v>
      </c>
      <c r="V84">
        <v>9154</v>
      </c>
      <c r="W84">
        <v>3878</v>
      </c>
      <c r="X84">
        <v>5276</v>
      </c>
      <c r="Y84" t="s">
        <v>35</v>
      </c>
    </row>
    <row r="85" spans="1:25" x14ac:dyDescent="0.3">
      <c r="A85">
        <v>3605</v>
      </c>
      <c r="B85" t="s">
        <v>117</v>
      </c>
      <c r="C85" t="s">
        <v>35</v>
      </c>
      <c r="D85">
        <v>6362</v>
      </c>
      <c r="E85">
        <v>4747</v>
      </c>
      <c r="F85">
        <v>3498</v>
      </c>
      <c r="G85">
        <v>206</v>
      </c>
      <c r="H85">
        <v>4.1590954999999999E-2</v>
      </c>
      <c r="I85">
        <v>48000</v>
      </c>
      <c r="J85">
        <v>33000</v>
      </c>
      <c r="K85">
        <v>80000</v>
      </c>
      <c r="L85">
        <v>0.74614900974536313</v>
      </c>
      <c r="M85">
        <v>0.73688645460290714</v>
      </c>
      <c r="N85">
        <v>47000</v>
      </c>
      <c r="O85">
        <v>0.64333112100000001</v>
      </c>
      <c r="P85">
        <v>1675</v>
      </c>
      <c r="Q85">
        <v>678</v>
      </c>
      <c r="R85">
        <v>201</v>
      </c>
      <c r="S85">
        <v>78000</v>
      </c>
      <c r="T85">
        <v>56000</v>
      </c>
      <c r="U85">
        <v>22000</v>
      </c>
      <c r="V85">
        <v>3635</v>
      </c>
      <c r="W85">
        <v>1761</v>
      </c>
      <c r="X85">
        <v>1874</v>
      </c>
      <c r="Y85" t="s">
        <v>35</v>
      </c>
    </row>
    <row r="86" spans="1:25" x14ac:dyDescent="0.3">
      <c r="A86">
        <v>3606</v>
      </c>
      <c r="B86" t="s">
        <v>118</v>
      </c>
      <c r="C86" t="s">
        <v>35</v>
      </c>
      <c r="D86">
        <v>68885</v>
      </c>
      <c r="E86">
        <v>45422</v>
      </c>
      <c r="F86">
        <v>33990</v>
      </c>
      <c r="G86">
        <v>2435</v>
      </c>
      <c r="H86">
        <v>5.0880749000000003E-2</v>
      </c>
      <c r="I86">
        <v>60000</v>
      </c>
      <c r="J86">
        <v>40000</v>
      </c>
      <c r="K86">
        <v>85000</v>
      </c>
      <c r="L86">
        <v>0.65938883646657476</v>
      </c>
      <c r="M86">
        <v>0.74831579410858173</v>
      </c>
      <c r="N86">
        <v>45000</v>
      </c>
      <c r="O86">
        <v>0.61572722700000004</v>
      </c>
      <c r="P86">
        <v>5577</v>
      </c>
      <c r="Q86">
        <v>3174</v>
      </c>
      <c r="R86">
        <v>1246</v>
      </c>
      <c r="S86">
        <v>85000</v>
      </c>
      <c r="T86">
        <v>60000</v>
      </c>
      <c r="U86">
        <v>25000</v>
      </c>
      <c r="V86">
        <v>15232</v>
      </c>
      <c r="W86">
        <v>6383</v>
      </c>
      <c r="X86">
        <v>8849</v>
      </c>
      <c r="Y86" t="s">
        <v>35</v>
      </c>
    </row>
    <row r="87" spans="1:25" x14ac:dyDescent="0.3">
      <c r="A87">
        <v>3607</v>
      </c>
      <c r="B87" t="s">
        <v>119</v>
      </c>
      <c r="C87" t="s">
        <v>35</v>
      </c>
      <c r="D87">
        <v>5015</v>
      </c>
      <c r="E87">
        <v>3481</v>
      </c>
      <c r="F87">
        <v>2579</v>
      </c>
      <c r="G87">
        <v>57</v>
      </c>
      <c r="H87">
        <v>1.6110797E-2</v>
      </c>
      <c r="I87">
        <v>60000</v>
      </c>
      <c r="J87">
        <v>35000</v>
      </c>
      <c r="K87">
        <v>105000</v>
      </c>
      <c r="L87">
        <v>0.69411764705882351</v>
      </c>
      <c r="M87">
        <v>0.74087905774202811</v>
      </c>
      <c r="N87">
        <v>70000</v>
      </c>
      <c r="O87">
        <v>0.52415258300000001</v>
      </c>
      <c r="P87">
        <v>603</v>
      </c>
      <c r="Q87">
        <v>478</v>
      </c>
      <c r="R87">
        <v>93</v>
      </c>
      <c r="S87">
        <v>105000</v>
      </c>
      <c r="T87">
        <v>66000</v>
      </c>
      <c r="U87">
        <v>39000</v>
      </c>
      <c r="V87">
        <v>1762</v>
      </c>
      <c r="W87">
        <v>515</v>
      </c>
      <c r="X87">
        <v>1247</v>
      </c>
      <c r="Y87" t="s">
        <v>35</v>
      </c>
    </row>
    <row r="88" spans="1:25" x14ac:dyDescent="0.3">
      <c r="A88">
        <v>3608</v>
      </c>
      <c r="B88" t="s">
        <v>120</v>
      </c>
      <c r="C88" t="s">
        <v>35</v>
      </c>
      <c r="D88">
        <v>43984</v>
      </c>
      <c r="E88">
        <v>31394</v>
      </c>
      <c r="F88">
        <v>20207</v>
      </c>
      <c r="G88">
        <v>1692</v>
      </c>
      <c r="H88">
        <v>5.1139455E-2</v>
      </c>
      <c r="I88">
        <v>50000</v>
      </c>
      <c r="J88">
        <v>30000</v>
      </c>
      <c r="K88">
        <v>75000</v>
      </c>
      <c r="L88">
        <v>0.71375954892688254</v>
      </c>
      <c r="M88">
        <v>0.64365802382620885</v>
      </c>
      <c r="N88">
        <v>45000</v>
      </c>
      <c r="O88">
        <v>0.90667733699999997</v>
      </c>
      <c r="P88">
        <v>6587</v>
      </c>
      <c r="Q88">
        <v>6894</v>
      </c>
      <c r="R88">
        <v>2237</v>
      </c>
      <c r="S88">
        <v>90000</v>
      </c>
      <c r="T88">
        <v>50000</v>
      </c>
      <c r="U88">
        <v>40000</v>
      </c>
      <c r="V88">
        <v>22060</v>
      </c>
      <c r="W88">
        <v>8422</v>
      </c>
      <c r="X88">
        <v>13638</v>
      </c>
      <c r="Y88" t="s">
        <v>35</v>
      </c>
    </row>
    <row r="89" spans="1:25" x14ac:dyDescent="0.3">
      <c r="A89">
        <v>3609</v>
      </c>
      <c r="B89" t="s">
        <v>121</v>
      </c>
      <c r="C89" t="s">
        <v>35</v>
      </c>
      <c r="D89">
        <v>55395</v>
      </c>
      <c r="E89">
        <v>35714</v>
      </c>
      <c r="F89">
        <v>26152</v>
      </c>
      <c r="G89">
        <v>1815</v>
      </c>
      <c r="H89">
        <v>4.8362599999999999E-2</v>
      </c>
      <c r="I89">
        <v>55000</v>
      </c>
      <c r="J89">
        <v>34000</v>
      </c>
      <c r="K89">
        <v>85000</v>
      </c>
      <c r="L89">
        <v>0.64471522700604744</v>
      </c>
      <c r="M89">
        <v>0.73226185809486477</v>
      </c>
      <c r="N89">
        <v>51000</v>
      </c>
      <c r="O89">
        <v>0.63729337600000002</v>
      </c>
      <c r="P89">
        <v>2771</v>
      </c>
      <c r="Q89">
        <v>2947</v>
      </c>
      <c r="R89">
        <v>743</v>
      </c>
      <c r="S89">
        <v>110000</v>
      </c>
      <c r="T89">
        <v>55000</v>
      </c>
      <c r="U89">
        <v>55000</v>
      </c>
      <c r="V89">
        <v>8409</v>
      </c>
      <c r="W89">
        <v>3050</v>
      </c>
      <c r="X89">
        <v>5359</v>
      </c>
      <c r="Y89" t="s">
        <v>35</v>
      </c>
    </row>
    <row r="90" spans="1:25" x14ac:dyDescent="0.3">
      <c r="A90">
        <v>3611</v>
      </c>
      <c r="B90" t="s">
        <v>122</v>
      </c>
      <c r="C90" t="s">
        <v>35</v>
      </c>
      <c r="D90">
        <v>13676</v>
      </c>
      <c r="E90">
        <v>8987</v>
      </c>
      <c r="F90">
        <v>5446</v>
      </c>
      <c r="G90">
        <v>665</v>
      </c>
      <c r="H90">
        <v>6.8897637999999997E-2</v>
      </c>
      <c r="I90">
        <v>35000</v>
      </c>
      <c r="J90">
        <v>28000</v>
      </c>
      <c r="K90">
        <v>52000</v>
      </c>
      <c r="L90">
        <v>0.65713658964609534</v>
      </c>
      <c r="M90">
        <v>0.60598642483587406</v>
      </c>
      <c r="N90">
        <v>24000</v>
      </c>
      <c r="O90">
        <v>0.47501047000000002</v>
      </c>
      <c r="P90">
        <v>5605</v>
      </c>
      <c r="Q90">
        <v>2301</v>
      </c>
      <c r="R90">
        <v>902</v>
      </c>
      <c r="S90">
        <v>58000</v>
      </c>
      <c r="T90">
        <v>40000</v>
      </c>
      <c r="U90">
        <v>18000</v>
      </c>
      <c r="V90">
        <v>13663</v>
      </c>
      <c r="W90">
        <v>4944</v>
      </c>
      <c r="X90">
        <v>8719</v>
      </c>
      <c r="Y90" t="s">
        <v>35</v>
      </c>
    </row>
    <row r="91" spans="1:25" x14ac:dyDescent="0.3">
      <c r="A91">
        <v>3699</v>
      </c>
      <c r="B91" t="s">
        <v>123</v>
      </c>
      <c r="C91" t="s">
        <v>35</v>
      </c>
      <c r="D91">
        <v>29389</v>
      </c>
      <c r="E91">
        <v>22298</v>
      </c>
      <c r="F91">
        <v>16508</v>
      </c>
      <c r="G91">
        <v>1114</v>
      </c>
      <c r="H91">
        <v>4.7582435999999999E-2</v>
      </c>
      <c r="I91">
        <v>52000</v>
      </c>
      <c r="J91">
        <v>33500</v>
      </c>
      <c r="K91">
        <v>72800</v>
      </c>
      <c r="L91">
        <v>0.75871924869849261</v>
      </c>
      <c r="M91">
        <v>0.74033545609471707</v>
      </c>
      <c r="N91">
        <v>39300</v>
      </c>
      <c r="O91">
        <v>0.56664050200000005</v>
      </c>
      <c r="P91">
        <v>4253</v>
      </c>
      <c r="Q91">
        <v>2722</v>
      </c>
      <c r="R91">
        <v>459</v>
      </c>
      <c r="S91">
        <v>65000</v>
      </c>
      <c r="T91">
        <v>55000</v>
      </c>
      <c r="U91">
        <v>10000</v>
      </c>
      <c r="V91">
        <v>10706</v>
      </c>
      <c r="W91">
        <v>4747</v>
      </c>
      <c r="X91">
        <v>5959</v>
      </c>
      <c r="Y91" t="s">
        <v>35</v>
      </c>
    </row>
    <row r="92" spans="1:25" x14ac:dyDescent="0.3">
      <c r="A92">
        <v>3700</v>
      </c>
      <c r="B92" t="s">
        <v>124</v>
      </c>
      <c r="C92" t="s">
        <v>48</v>
      </c>
      <c r="D92">
        <v>432806</v>
      </c>
      <c r="E92">
        <v>280902</v>
      </c>
      <c r="F92">
        <v>209838</v>
      </c>
      <c r="G92">
        <v>15701</v>
      </c>
      <c r="H92">
        <v>5.2936080000000003E-2</v>
      </c>
      <c r="I92">
        <v>66000</v>
      </c>
      <c r="J92">
        <v>42000</v>
      </c>
      <c r="K92">
        <v>100000</v>
      </c>
      <c r="L92">
        <v>0.64902519835676953</v>
      </c>
      <c r="M92">
        <v>0.74701497319349808</v>
      </c>
      <c r="N92">
        <v>58000</v>
      </c>
      <c r="O92">
        <v>0.244103081</v>
      </c>
      <c r="P92">
        <v>34800</v>
      </c>
      <c r="Q92">
        <v>14829</v>
      </c>
      <c r="R92">
        <v>4569</v>
      </c>
      <c r="S92">
        <v>89000</v>
      </c>
      <c r="T92">
        <v>68000</v>
      </c>
      <c r="U92">
        <v>21000</v>
      </c>
      <c r="V92">
        <v>72397</v>
      </c>
      <c r="W92">
        <v>39956</v>
      </c>
      <c r="X92">
        <v>32441</v>
      </c>
      <c r="Y92" t="s">
        <v>48</v>
      </c>
    </row>
    <row r="93" spans="1:25" x14ac:dyDescent="0.3">
      <c r="A93">
        <v>3701</v>
      </c>
      <c r="B93" t="s">
        <v>125</v>
      </c>
      <c r="C93" t="s">
        <v>48</v>
      </c>
      <c r="D93">
        <v>19112</v>
      </c>
      <c r="E93">
        <v>15136</v>
      </c>
      <c r="F93">
        <v>12109</v>
      </c>
      <c r="G93">
        <v>892</v>
      </c>
      <c r="H93">
        <v>5.5652607999999999E-2</v>
      </c>
      <c r="I93">
        <v>70000</v>
      </c>
      <c r="J93">
        <v>47000</v>
      </c>
      <c r="K93">
        <v>106000</v>
      </c>
      <c r="L93">
        <v>0.79196316450397652</v>
      </c>
      <c r="M93">
        <v>0.80001321353065535</v>
      </c>
      <c r="N93">
        <v>59000</v>
      </c>
      <c r="O93">
        <v>0.75392736000000005</v>
      </c>
      <c r="P93">
        <v>2437</v>
      </c>
      <c r="Q93">
        <v>803</v>
      </c>
      <c r="R93">
        <v>357</v>
      </c>
      <c r="S93">
        <v>100000</v>
      </c>
      <c r="T93">
        <v>76000</v>
      </c>
      <c r="U93">
        <v>24000</v>
      </c>
      <c r="V93">
        <v>4939</v>
      </c>
      <c r="W93">
        <v>2794</v>
      </c>
      <c r="X93">
        <v>2145</v>
      </c>
      <c r="Y93" t="s">
        <v>48</v>
      </c>
    </row>
    <row r="94" spans="1:25" x14ac:dyDescent="0.3">
      <c r="A94">
        <v>3702</v>
      </c>
      <c r="B94" t="s">
        <v>126</v>
      </c>
      <c r="C94" t="s">
        <v>48</v>
      </c>
      <c r="D94">
        <v>24806</v>
      </c>
      <c r="E94">
        <v>18808</v>
      </c>
      <c r="F94">
        <v>14468</v>
      </c>
      <c r="G94">
        <v>1138</v>
      </c>
      <c r="H94">
        <v>5.7054045999999997E-2</v>
      </c>
      <c r="I94">
        <v>70000</v>
      </c>
      <c r="J94">
        <v>43000</v>
      </c>
      <c r="K94">
        <v>102000</v>
      </c>
      <c r="L94">
        <v>0.75820366040474074</v>
      </c>
      <c r="M94">
        <v>0.76924712888132707</v>
      </c>
      <c r="N94">
        <v>59000</v>
      </c>
      <c r="O94">
        <v>0.281936407</v>
      </c>
      <c r="P94">
        <v>2298</v>
      </c>
      <c r="Q94">
        <v>1200</v>
      </c>
      <c r="R94">
        <v>343</v>
      </c>
      <c r="S94">
        <v>92000</v>
      </c>
      <c r="T94">
        <v>75000</v>
      </c>
      <c r="U94">
        <v>17000</v>
      </c>
      <c r="V94">
        <v>6251</v>
      </c>
      <c r="W94">
        <v>2960</v>
      </c>
      <c r="X94">
        <v>3291</v>
      </c>
      <c r="Y94" t="s">
        <v>48</v>
      </c>
    </row>
    <row r="95" spans="1:25" x14ac:dyDescent="0.3">
      <c r="A95">
        <v>3801</v>
      </c>
      <c r="B95" t="s">
        <v>127</v>
      </c>
      <c r="C95" t="s">
        <v>56</v>
      </c>
      <c r="D95">
        <v>4315</v>
      </c>
      <c r="E95">
        <v>1650</v>
      </c>
      <c r="F95">
        <v>1708</v>
      </c>
      <c r="G95">
        <v>187</v>
      </c>
      <c r="H95">
        <v>0.10179640700000001</v>
      </c>
      <c r="I95">
        <v>64000</v>
      </c>
      <c r="J95">
        <v>39750</v>
      </c>
      <c r="K95">
        <v>90000</v>
      </c>
      <c r="L95">
        <v>0.38238702201622249</v>
      </c>
      <c r="M95">
        <v>1.0351515151515152</v>
      </c>
      <c r="N95">
        <v>50250</v>
      </c>
      <c r="O95">
        <v>0.42968496299999998</v>
      </c>
      <c r="P95">
        <v>0</v>
      </c>
      <c r="Q95">
        <v>0</v>
      </c>
      <c r="R95">
        <v>0</v>
      </c>
      <c r="S95">
        <v>74000</v>
      </c>
      <c r="T95">
        <v>64000</v>
      </c>
      <c r="U95">
        <v>10000</v>
      </c>
      <c r="Y95" t="s">
        <v>56</v>
      </c>
    </row>
    <row r="96" spans="1:25" x14ac:dyDescent="0.3">
      <c r="A96">
        <v>4000</v>
      </c>
      <c r="B96" t="s">
        <v>128</v>
      </c>
      <c r="C96" t="s">
        <v>129</v>
      </c>
      <c r="D96">
        <v>45199</v>
      </c>
      <c r="E96">
        <v>35706</v>
      </c>
      <c r="F96">
        <v>26038</v>
      </c>
      <c r="G96">
        <v>2990</v>
      </c>
      <c r="H96">
        <v>7.7268967999999993E-2</v>
      </c>
      <c r="I96">
        <v>43000</v>
      </c>
      <c r="J96">
        <v>32000</v>
      </c>
      <c r="K96">
        <v>55000</v>
      </c>
      <c r="L96">
        <v>0.78997322949622784</v>
      </c>
      <c r="M96">
        <v>0.72923318209824683</v>
      </c>
      <c r="N96">
        <v>23000</v>
      </c>
      <c r="O96">
        <v>0.49539715299999998</v>
      </c>
      <c r="P96">
        <v>5176</v>
      </c>
      <c r="Q96">
        <v>3903</v>
      </c>
      <c r="R96">
        <v>1061</v>
      </c>
      <c r="S96">
        <v>55000</v>
      </c>
      <c r="T96">
        <v>44000</v>
      </c>
      <c r="U96">
        <v>11000</v>
      </c>
      <c r="Y96" t="s">
        <v>129</v>
      </c>
    </row>
    <row r="97" spans="1:25" x14ac:dyDescent="0.3">
      <c r="A97">
        <v>4001</v>
      </c>
      <c r="B97" t="s">
        <v>130</v>
      </c>
      <c r="C97" t="s">
        <v>41</v>
      </c>
      <c r="D97">
        <v>56580</v>
      </c>
      <c r="E97">
        <v>43114</v>
      </c>
      <c r="F97">
        <v>27499</v>
      </c>
      <c r="G97">
        <v>3462</v>
      </c>
      <c r="H97">
        <v>7.4330126999999996E-2</v>
      </c>
      <c r="I97">
        <v>45000</v>
      </c>
      <c r="J97">
        <v>30000</v>
      </c>
      <c r="K97">
        <v>69000</v>
      </c>
      <c r="L97">
        <v>0.76200070696359135</v>
      </c>
      <c r="M97">
        <v>0.63782066150206429</v>
      </c>
      <c r="N97">
        <v>39000</v>
      </c>
      <c r="O97">
        <v>0.50737696799999998</v>
      </c>
      <c r="P97">
        <v>4956</v>
      </c>
      <c r="Q97">
        <v>10343</v>
      </c>
      <c r="R97">
        <v>3168</v>
      </c>
      <c r="S97">
        <v>70000</v>
      </c>
      <c r="T97">
        <v>50000</v>
      </c>
      <c r="U97">
        <v>20000</v>
      </c>
      <c r="Y97" t="s">
        <v>41</v>
      </c>
    </row>
    <row r="98" spans="1:25" x14ac:dyDescent="0.3">
      <c r="A98">
        <v>4002</v>
      </c>
      <c r="B98" t="s">
        <v>131</v>
      </c>
      <c r="C98" t="s">
        <v>132</v>
      </c>
      <c r="D98">
        <v>64534</v>
      </c>
      <c r="E98">
        <v>43878</v>
      </c>
      <c r="F98">
        <v>28112</v>
      </c>
      <c r="G98">
        <v>2961</v>
      </c>
      <c r="H98">
        <v>6.3216549999999996E-2</v>
      </c>
      <c r="I98">
        <v>49500</v>
      </c>
      <c r="J98">
        <v>34000</v>
      </c>
      <c r="K98">
        <v>69000</v>
      </c>
      <c r="L98">
        <v>0.67992066197663248</v>
      </c>
      <c r="M98">
        <v>0.64068553717124754</v>
      </c>
      <c r="N98">
        <v>35000</v>
      </c>
      <c r="O98">
        <v>0.63814682</v>
      </c>
      <c r="P98">
        <v>6535</v>
      </c>
      <c r="Q98">
        <v>5473</v>
      </c>
      <c r="R98">
        <v>2449</v>
      </c>
      <c r="S98">
        <v>65000</v>
      </c>
      <c r="T98">
        <v>50000</v>
      </c>
      <c r="U98">
        <v>15000</v>
      </c>
      <c r="V98">
        <v>18909</v>
      </c>
      <c r="W98">
        <v>2563</v>
      </c>
      <c r="X98">
        <v>16346</v>
      </c>
      <c r="Y98" t="s">
        <v>132</v>
      </c>
    </row>
    <row r="99" spans="1:25" x14ac:dyDescent="0.3">
      <c r="A99">
        <v>4005</v>
      </c>
      <c r="B99" t="s">
        <v>133</v>
      </c>
      <c r="C99" t="s">
        <v>48</v>
      </c>
      <c r="D99">
        <v>7184</v>
      </c>
      <c r="E99">
        <v>5874</v>
      </c>
      <c r="F99">
        <v>5039</v>
      </c>
      <c r="G99">
        <v>150</v>
      </c>
      <c r="H99">
        <v>2.4900398000000001E-2</v>
      </c>
      <c r="I99">
        <v>92000</v>
      </c>
      <c r="J99">
        <v>53000</v>
      </c>
      <c r="K99">
        <v>136000</v>
      </c>
      <c r="L99">
        <v>0.81765033407572385</v>
      </c>
      <c r="M99">
        <v>0.85784814436499834</v>
      </c>
      <c r="N99">
        <v>83000</v>
      </c>
      <c r="O99">
        <v>0.92780724599999997</v>
      </c>
      <c r="P99">
        <v>452</v>
      </c>
      <c r="Q99">
        <v>67</v>
      </c>
      <c r="R99">
        <v>25</v>
      </c>
      <c r="S99">
        <v>98000</v>
      </c>
      <c r="T99">
        <v>92000</v>
      </c>
      <c r="U99">
        <v>6000</v>
      </c>
      <c r="V99">
        <v>609</v>
      </c>
      <c r="W99">
        <v>500</v>
      </c>
      <c r="X99">
        <v>109</v>
      </c>
      <c r="Y99" t="s">
        <v>48</v>
      </c>
    </row>
    <row r="100" spans="1:25" x14ac:dyDescent="0.3">
      <c r="A100">
        <v>4006</v>
      </c>
      <c r="B100" t="s">
        <v>134</v>
      </c>
      <c r="C100" t="s">
        <v>35</v>
      </c>
      <c r="D100">
        <v>6898</v>
      </c>
      <c r="E100">
        <v>5527</v>
      </c>
      <c r="F100">
        <v>3639</v>
      </c>
      <c r="G100">
        <v>284</v>
      </c>
      <c r="H100">
        <v>4.8872827000000001E-2</v>
      </c>
      <c r="I100">
        <v>53000</v>
      </c>
      <c r="J100">
        <v>31500</v>
      </c>
      <c r="K100">
        <v>93000</v>
      </c>
      <c r="L100">
        <v>0.80124673818498116</v>
      </c>
      <c r="M100">
        <v>0.65840419757553825</v>
      </c>
      <c r="N100">
        <v>61500</v>
      </c>
      <c r="O100">
        <v>0.85452322700000005</v>
      </c>
      <c r="P100">
        <v>1369</v>
      </c>
      <c r="Q100">
        <v>921</v>
      </c>
      <c r="R100">
        <v>135</v>
      </c>
      <c r="S100">
        <v>95000</v>
      </c>
      <c r="T100">
        <v>55000</v>
      </c>
      <c r="U100">
        <v>40000</v>
      </c>
      <c r="V100">
        <v>3831</v>
      </c>
      <c r="W100">
        <v>1667</v>
      </c>
      <c r="X100">
        <v>2164</v>
      </c>
      <c r="Y100" t="s">
        <v>35</v>
      </c>
    </row>
    <row r="101" spans="1:25" x14ac:dyDescent="0.3">
      <c r="A101">
        <v>4007</v>
      </c>
      <c r="B101" t="s">
        <v>135</v>
      </c>
      <c r="C101" t="s">
        <v>136</v>
      </c>
      <c r="D101">
        <v>61871</v>
      </c>
      <c r="E101">
        <v>43312</v>
      </c>
      <c r="F101">
        <v>31078</v>
      </c>
      <c r="G101">
        <v>3030</v>
      </c>
      <c r="H101">
        <v>6.5383452999999994E-2</v>
      </c>
      <c r="I101">
        <v>45000</v>
      </c>
      <c r="J101">
        <v>33000</v>
      </c>
      <c r="K101">
        <v>67000</v>
      </c>
      <c r="L101">
        <v>0.70003717412034716</v>
      </c>
      <c r="M101">
        <v>0.71753786479497594</v>
      </c>
      <c r="N101">
        <v>34000</v>
      </c>
      <c r="O101">
        <v>0.72186591300000003</v>
      </c>
      <c r="P101">
        <v>2630</v>
      </c>
      <c r="Q101">
        <v>3906</v>
      </c>
      <c r="R101">
        <v>1470</v>
      </c>
      <c r="S101">
        <v>66000</v>
      </c>
      <c r="T101">
        <v>46000</v>
      </c>
      <c r="U101">
        <v>20000</v>
      </c>
      <c r="Y101" t="s">
        <v>136</v>
      </c>
    </row>
    <row r="102" spans="1:25" x14ac:dyDescent="0.3">
      <c r="A102">
        <v>4101</v>
      </c>
      <c r="B102" t="s">
        <v>137</v>
      </c>
      <c r="C102" t="s">
        <v>56</v>
      </c>
      <c r="D102">
        <v>350409</v>
      </c>
      <c r="E102">
        <v>286683</v>
      </c>
      <c r="F102">
        <v>204242</v>
      </c>
      <c r="G102">
        <v>14108</v>
      </c>
      <c r="H102">
        <v>4.6902999000000001E-2</v>
      </c>
      <c r="I102">
        <v>44000</v>
      </c>
      <c r="J102">
        <v>30000</v>
      </c>
      <c r="K102">
        <v>60000</v>
      </c>
      <c r="L102">
        <v>0.81813823275087116</v>
      </c>
      <c r="M102">
        <v>0.71243150099587349</v>
      </c>
      <c r="N102">
        <v>30000</v>
      </c>
      <c r="O102">
        <v>0.68394261899999997</v>
      </c>
      <c r="P102">
        <v>27581</v>
      </c>
      <c r="Q102">
        <v>63946</v>
      </c>
      <c r="R102">
        <v>16838</v>
      </c>
      <c r="S102">
        <v>60000</v>
      </c>
      <c r="T102">
        <v>45000</v>
      </c>
      <c r="U102">
        <v>15000</v>
      </c>
      <c r="Y102" t="s">
        <v>56</v>
      </c>
    </row>
    <row r="103" spans="1:25" x14ac:dyDescent="0.3">
      <c r="A103">
        <v>4801</v>
      </c>
      <c r="B103" t="s">
        <v>138</v>
      </c>
      <c r="C103" t="s">
        <v>41</v>
      </c>
      <c r="D103">
        <v>205763</v>
      </c>
      <c r="E103">
        <v>138734</v>
      </c>
      <c r="F103">
        <v>95429</v>
      </c>
      <c r="G103">
        <v>11252</v>
      </c>
      <c r="H103">
        <v>7.5020334999999994E-2</v>
      </c>
      <c r="I103">
        <v>45000</v>
      </c>
      <c r="J103">
        <v>30000</v>
      </c>
      <c r="K103">
        <v>70000</v>
      </c>
      <c r="L103">
        <v>0.67424172470269195</v>
      </c>
      <c r="M103">
        <v>0.68785589689621862</v>
      </c>
      <c r="N103">
        <v>40000</v>
      </c>
      <c r="O103">
        <v>0.41680957400000002</v>
      </c>
      <c r="P103">
        <v>14444</v>
      </c>
      <c r="Q103">
        <v>20313</v>
      </c>
      <c r="R103">
        <v>8051</v>
      </c>
      <c r="S103">
        <v>65000</v>
      </c>
      <c r="T103">
        <v>46000</v>
      </c>
      <c r="U103">
        <v>19000</v>
      </c>
      <c r="Y103" t="s">
        <v>41</v>
      </c>
    </row>
    <row r="104" spans="1:25" x14ac:dyDescent="0.3">
      <c r="A104">
        <v>4901</v>
      </c>
      <c r="B104" t="s">
        <v>139</v>
      </c>
      <c r="C104" t="s">
        <v>41</v>
      </c>
      <c r="D104">
        <v>232865</v>
      </c>
      <c r="E104">
        <v>164827</v>
      </c>
      <c r="F104">
        <v>121606</v>
      </c>
      <c r="G104">
        <v>7317</v>
      </c>
      <c r="H104">
        <v>4.2505111999999998E-2</v>
      </c>
      <c r="I104">
        <v>40000</v>
      </c>
      <c r="J104">
        <v>27000</v>
      </c>
      <c r="K104">
        <v>56000</v>
      </c>
      <c r="L104">
        <v>0.70782212870117878</v>
      </c>
      <c r="M104">
        <v>0.73777961135008219</v>
      </c>
      <c r="N104">
        <v>29000</v>
      </c>
      <c r="O104">
        <v>0.72849462399999998</v>
      </c>
      <c r="P104">
        <v>9927</v>
      </c>
      <c r="Q104">
        <v>12037</v>
      </c>
      <c r="R104">
        <v>3304</v>
      </c>
      <c r="S104">
        <v>48000</v>
      </c>
      <c r="T104">
        <v>40000</v>
      </c>
      <c r="U104">
        <v>8000</v>
      </c>
      <c r="Y104" t="s">
        <v>41</v>
      </c>
    </row>
    <row r="105" spans="1:25" x14ac:dyDescent="0.3">
      <c r="A105">
        <v>5000</v>
      </c>
      <c r="B105" t="s">
        <v>140</v>
      </c>
      <c r="C105" t="s">
        <v>141</v>
      </c>
      <c r="D105">
        <v>8856</v>
      </c>
      <c r="E105">
        <v>5872</v>
      </c>
      <c r="F105">
        <v>4961</v>
      </c>
      <c r="G105">
        <v>238</v>
      </c>
      <c r="H105">
        <v>3.8952537000000002E-2</v>
      </c>
      <c r="I105">
        <v>60000</v>
      </c>
      <c r="J105">
        <v>38000</v>
      </c>
      <c r="K105">
        <v>89000</v>
      </c>
      <c r="L105">
        <v>0.66305329719963868</v>
      </c>
      <c r="M105">
        <v>0.8448569482288828</v>
      </c>
      <c r="N105">
        <v>51000</v>
      </c>
      <c r="O105">
        <v>0.42692372000000001</v>
      </c>
      <c r="P105">
        <v>530</v>
      </c>
      <c r="Q105">
        <v>465</v>
      </c>
      <c r="R105">
        <v>269</v>
      </c>
      <c r="S105">
        <v>80000</v>
      </c>
      <c r="T105">
        <v>60000</v>
      </c>
      <c r="U105">
        <v>20000</v>
      </c>
      <c r="V105">
        <v>1436</v>
      </c>
      <c r="W105">
        <v>894</v>
      </c>
      <c r="X105">
        <v>542</v>
      </c>
      <c r="Y105" t="s">
        <v>141</v>
      </c>
    </row>
    <row r="106" spans="1:25" x14ac:dyDescent="0.3">
      <c r="A106">
        <v>5001</v>
      </c>
      <c r="B106" t="s">
        <v>142</v>
      </c>
      <c r="C106" t="s">
        <v>141</v>
      </c>
      <c r="D106">
        <v>4700</v>
      </c>
      <c r="E106">
        <v>3400</v>
      </c>
      <c r="F106">
        <v>2447</v>
      </c>
      <c r="G106">
        <v>320</v>
      </c>
      <c r="H106">
        <v>8.6021504999999998E-2</v>
      </c>
      <c r="I106">
        <v>80000</v>
      </c>
      <c r="J106">
        <v>40000</v>
      </c>
      <c r="K106">
        <v>106000</v>
      </c>
      <c r="L106">
        <v>0.72340425531914898</v>
      </c>
      <c r="M106">
        <v>0.7197058823529412</v>
      </c>
      <c r="N106">
        <v>66000</v>
      </c>
      <c r="O106">
        <v>0.441355573</v>
      </c>
      <c r="P106">
        <v>972</v>
      </c>
      <c r="Q106">
        <v>500</v>
      </c>
      <c r="R106">
        <v>220</v>
      </c>
      <c r="S106">
        <v>96000</v>
      </c>
      <c r="T106">
        <v>85000</v>
      </c>
      <c r="U106">
        <v>11000</v>
      </c>
      <c r="V106">
        <v>1792</v>
      </c>
      <c r="W106">
        <v>832</v>
      </c>
      <c r="X106">
        <v>960</v>
      </c>
      <c r="Y106" t="s">
        <v>141</v>
      </c>
    </row>
    <row r="107" spans="1:25" x14ac:dyDescent="0.3">
      <c r="A107">
        <v>5002</v>
      </c>
      <c r="B107" t="s">
        <v>143</v>
      </c>
      <c r="C107" t="s">
        <v>141</v>
      </c>
      <c r="D107">
        <v>14051</v>
      </c>
      <c r="E107">
        <v>11252</v>
      </c>
      <c r="F107">
        <v>9098</v>
      </c>
      <c r="G107">
        <v>429</v>
      </c>
      <c r="H107">
        <v>3.6726307999999999E-2</v>
      </c>
      <c r="I107">
        <v>60000</v>
      </c>
      <c r="J107">
        <v>39000</v>
      </c>
      <c r="K107">
        <v>90000</v>
      </c>
      <c r="L107">
        <v>0.80079709629207885</v>
      </c>
      <c r="M107">
        <v>0.80856736580163524</v>
      </c>
      <c r="N107">
        <v>51000</v>
      </c>
      <c r="O107">
        <v>0.12495049499999999</v>
      </c>
      <c r="P107">
        <v>1808</v>
      </c>
      <c r="Q107">
        <v>1317</v>
      </c>
      <c r="R107">
        <v>237</v>
      </c>
      <c r="S107">
        <v>82000</v>
      </c>
      <c r="T107">
        <v>60000</v>
      </c>
      <c r="U107">
        <v>22000</v>
      </c>
      <c r="V107">
        <v>4043</v>
      </c>
      <c r="W107">
        <v>2744</v>
      </c>
      <c r="X107">
        <v>1299</v>
      </c>
      <c r="Y107" t="s">
        <v>141</v>
      </c>
    </row>
    <row r="108" spans="1:25" x14ac:dyDescent="0.3">
      <c r="A108">
        <v>5003</v>
      </c>
      <c r="B108" t="s">
        <v>144</v>
      </c>
      <c r="C108" t="s">
        <v>141</v>
      </c>
      <c r="D108">
        <v>308062</v>
      </c>
      <c r="E108">
        <v>198075</v>
      </c>
      <c r="F108">
        <v>153308</v>
      </c>
      <c r="G108">
        <v>11468</v>
      </c>
      <c r="H108">
        <v>5.4728623999999997E-2</v>
      </c>
      <c r="I108">
        <v>59000</v>
      </c>
      <c r="J108">
        <v>38700</v>
      </c>
      <c r="K108">
        <v>90000</v>
      </c>
      <c r="L108">
        <v>0.64297122007907503</v>
      </c>
      <c r="M108">
        <v>0.77398965038495515</v>
      </c>
      <c r="N108">
        <v>51300</v>
      </c>
      <c r="O108">
        <v>0.50514053800000003</v>
      </c>
      <c r="P108">
        <v>30382</v>
      </c>
      <c r="Q108">
        <v>14718</v>
      </c>
      <c r="R108">
        <v>4288</v>
      </c>
      <c r="S108">
        <v>100000</v>
      </c>
      <c r="T108">
        <v>60000</v>
      </c>
      <c r="U108">
        <v>40000</v>
      </c>
      <c r="V108">
        <v>66530</v>
      </c>
      <c r="W108">
        <v>32923</v>
      </c>
      <c r="X108">
        <v>33607</v>
      </c>
      <c r="Y108" t="s">
        <v>141</v>
      </c>
    </row>
    <row r="109" spans="1:25" x14ac:dyDescent="0.3">
      <c r="A109">
        <v>5004</v>
      </c>
      <c r="B109" t="s">
        <v>145</v>
      </c>
      <c r="C109" t="s">
        <v>141</v>
      </c>
      <c r="D109">
        <v>107902</v>
      </c>
      <c r="E109">
        <v>75698</v>
      </c>
      <c r="F109">
        <v>59262</v>
      </c>
      <c r="G109">
        <v>5272</v>
      </c>
      <c r="H109">
        <v>6.5110534999999997E-2</v>
      </c>
      <c r="I109">
        <v>65000</v>
      </c>
      <c r="J109">
        <v>42000</v>
      </c>
      <c r="K109">
        <v>100000</v>
      </c>
      <c r="L109">
        <v>0.7015439936238439</v>
      </c>
      <c r="M109">
        <v>0.78287405215461436</v>
      </c>
      <c r="N109">
        <v>58000</v>
      </c>
      <c r="O109">
        <v>0.47019686500000002</v>
      </c>
      <c r="P109">
        <v>4858</v>
      </c>
      <c r="Q109">
        <v>2792</v>
      </c>
      <c r="R109">
        <v>959</v>
      </c>
      <c r="S109">
        <v>84000</v>
      </c>
      <c r="T109">
        <v>66000</v>
      </c>
      <c r="U109">
        <v>18000</v>
      </c>
      <c r="V109">
        <v>10972</v>
      </c>
      <c r="W109">
        <v>5813</v>
      </c>
      <c r="X109">
        <v>5159</v>
      </c>
      <c r="Y109" t="s">
        <v>141</v>
      </c>
    </row>
    <row r="110" spans="1:25" x14ac:dyDescent="0.3">
      <c r="A110">
        <v>5005</v>
      </c>
      <c r="B110" t="s">
        <v>146</v>
      </c>
      <c r="C110" t="s">
        <v>141</v>
      </c>
      <c r="D110">
        <v>8267</v>
      </c>
      <c r="E110">
        <v>6129</v>
      </c>
      <c r="F110">
        <v>5020</v>
      </c>
      <c r="G110">
        <v>274</v>
      </c>
      <c r="H110">
        <v>4.2792441000000001E-2</v>
      </c>
      <c r="I110">
        <v>57000</v>
      </c>
      <c r="J110">
        <v>36000</v>
      </c>
      <c r="K110">
        <v>80000</v>
      </c>
      <c r="L110">
        <v>0.74138139591145513</v>
      </c>
      <c r="M110">
        <v>0.81905694240496008</v>
      </c>
      <c r="N110">
        <v>44000</v>
      </c>
      <c r="O110">
        <v>0.88129388900000005</v>
      </c>
      <c r="P110">
        <v>784</v>
      </c>
      <c r="Q110">
        <v>591</v>
      </c>
      <c r="R110">
        <v>221</v>
      </c>
      <c r="S110">
        <v>90000</v>
      </c>
      <c r="T110">
        <v>58000</v>
      </c>
      <c r="U110">
        <v>32000</v>
      </c>
      <c r="V110">
        <v>1978</v>
      </c>
      <c r="W110">
        <v>809</v>
      </c>
      <c r="X110">
        <v>1169</v>
      </c>
      <c r="Y110" t="s">
        <v>141</v>
      </c>
    </row>
    <row r="111" spans="1:25" x14ac:dyDescent="0.3">
      <c r="A111">
        <v>5006</v>
      </c>
      <c r="B111" t="s">
        <v>147</v>
      </c>
      <c r="C111" t="s">
        <v>141</v>
      </c>
      <c r="D111">
        <v>10741</v>
      </c>
      <c r="E111">
        <v>7882</v>
      </c>
      <c r="F111">
        <v>6508</v>
      </c>
      <c r="G111">
        <v>449</v>
      </c>
      <c r="H111">
        <v>5.3895090999999999E-2</v>
      </c>
      <c r="I111">
        <v>55000</v>
      </c>
      <c r="J111">
        <v>40000</v>
      </c>
      <c r="K111">
        <v>90000</v>
      </c>
      <c r="L111">
        <v>0.73382366632529561</v>
      </c>
      <c r="M111">
        <v>0.82567876173560006</v>
      </c>
      <c r="N111">
        <v>50000</v>
      </c>
      <c r="O111">
        <v>0.68899917300000002</v>
      </c>
      <c r="P111">
        <v>459</v>
      </c>
      <c r="Q111">
        <v>996</v>
      </c>
      <c r="R111">
        <v>186</v>
      </c>
      <c r="S111">
        <v>90000</v>
      </c>
      <c r="T111">
        <v>60000</v>
      </c>
      <c r="U111">
        <v>30000</v>
      </c>
      <c r="V111">
        <v>2418</v>
      </c>
      <c r="W111">
        <v>752</v>
      </c>
      <c r="X111">
        <v>1666</v>
      </c>
      <c r="Y111" t="s">
        <v>141</v>
      </c>
    </row>
    <row r="112" spans="1:25" x14ac:dyDescent="0.3">
      <c r="A112">
        <v>5007</v>
      </c>
      <c r="B112" t="s">
        <v>148</v>
      </c>
      <c r="C112" t="s">
        <v>141</v>
      </c>
      <c r="D112">
        <v>122620</v>
      </c>
      <c r="E112">
        <v>80797</v>
      </c>
      <c r="F112">
        <v>60812</v>
      </c>
      <c r="G112">
        <v>4440</v>
      </c>
      <c r="H112">
        <v>5.2090055000000003E-2</v>
      </c>
      <c r="I112">
        <v>70000</v>
      </c>
      <c r="J112">
        <v>40000</v>
      </c>
      <c r="K112">
        <v>110000</v>
      </c>
      <c r="L112">
        <v>0.65892187245147615</v>
      </c>
      <c r="M112">
        <v>0.75265170736537246</v>
      </c>
      <c r="N112">
        <v>70000</v>
      </c>
      <c r="O112">
        <v>0.44809867799999997</v>
      </c>
      <c r="P112">
        <v>18674</v>
      </c>
      <c r="Q112">
        <v>4576</v>
      </c>
      <c r="R112">
        <v>1823</v>
      </c>
      <c r="S112">
        <v>100000</v>
      </c>
      <c r="T112">
        <v>74000</v>
      </c>
      <c r="U112">
        <v>26000</v>
      </c>
      <c r="V112">
        <v>32142</v>
      </c>
      <c r="W112">
        <v>23080</v>
      </c>
      <c r="X112">
        <v>9062</v>
      </c>
      <c r="Y112" t="s">
        <v>141</v>
      </c>
    </row>
    <row r="113" spans="1:25" x14ac:dyDescent="0.3">
      <c r="A113">
        <v>5008</v>
      </c>
      <c r="B113" t="s">
        <v>149</v>
      </c>
      <c r="C113" t="s">
        <v>39</v>
      </c>
      <c r="D113">
        <v>7208</v>
      </c>
      <c r="E113">
        <v>5866</v>
      </c>
      <c r="F113">
        <v>4505</v>
      </c>
      <c r="G113">
        <v>134</v>
      </c>
      <c r="H113">
        <v>2.2333333E-2</v>
      </c>
      <c r="I113">
        <v>75000</v>
      </c>
      <c r="J113">
        <v>60000</v>
      </c>
      <c r="K113">
        <v>100000</v>
      </c>
      <c r="L113">
        <v>0.81381798002219752</v>
      </c>
      <c r="M113">
        <v>0.76798499829526079</v>
      </c>
      <c r="N113">
        <v>40000</v>
      </c>
      <c r="O113">
        <v>0.31082028499999997</v>
      </c>
      <c r="P113">
        <v>2626</v>
      </c>
      <c r="Q113">
        <v>391</v>
      </c>
      <c r="R113">
        <v>81</v>
      </c>
      <c r="S113">
        <v>95000</v>
      </c>
      <c r="T113">
        <v>80000</v>
      </c>
      <c r="U113">
        <v>15000</v>
      </c>
      <c r="V113">
        <v>4279</v>
      </c>
      <c r="W113">
        <v>2949</v>
      </c>
      <c r="X113">
        <v>1330</v>
      </c>
      <c r="Y113" t="s">
        <v>39</v>
      </c>
    </row>
    <row r="114" spans="1:25" x14ac:dyDescent="0.3">
      <c r="A114">
        <v>5098</v>
      </c>
      <c r="B114" t="s">
        <v>150</v>
      </c>
      <c r="C114" t="s">
        <v>141</v>
      </c>
      <c r="D114">
        <v>427953</v>
      </c>
      <c r="E114">
        <v>308461</v>
      </c>
      <c r="F114">
        <v>238933</v>
      </c>
      <c r="G114">
        <v>14613</v>
      </c>
      <c r="H114">
        <v>4.5231123999999998E-2</v>
      </c>
      <c r="I114">
        <v>56000</v>
      </c>
      <c r="J114">
        <v>38000</v>
      </c>
      <c r="K114">
        <v>85000</v>
      </c>
      <c r="L114">
        <v>0.72078242236881152</v>
      </c>
      <c r="M114">
        <v>0.77459711276303977</v>
      </c>
      <c r="N114">
        <v>47000</v>
      </c>
      <c r="O114">
        <v>0.66999850500000002</v>
      </c>
      <c r="P114">
        <v>17923</v>
      </c>
      <c r="Q114">
        <v>22039</v>
      </c>
      <c r="R114">
        <v>5751</v>
      </c>
      <c r="S114">
        <v>86000</v>
      </c>
      <c r="T114">
        <v>59000</v>
      </c>
      <c r="U114">
        <v>27000</v>
      </c>
      <c r="V114">
        <v>62052</v>
      </c>
      <c r="W114">
        <v>27015</v>
      </c>
      <c r="X114">
        <v>35037</v>
      </c>
      <c r="Y114" t="s">
        <v>141</v>
      </c>
    </row>
    <row r="115" spans="1:25" x14ac:dyDescent="0.3">
      <c r="A115">
        <v>5102</v>
      </c>
      <c r="B115" t="s">
        <v>151</v>
      </c>
      <c r="C115" t="s">
        <v>141</v>
      </c>
      <c r="D115">
        <v>12166</v>
      </c>
      <c r="E115">
        <v>9560</v>
      </c>
      <c r="F115">
        <v>7238</v>
      </c>
      <c r="G115">
        <v>718</v>
      </c>
      <c r="H115">
        <v>6.9857949000000003E-2</v>
      </c>
      <c r="I115">
        <v>62000</v>
      </c>
      <c r="J115">
        <v>45000</v>
      </c>
      <c r="K115">
        <v>80000</v>
      </c>
      <c r="L115">
        <v>0.78579648199901364</v>
      </c>
      <c r="M115">
        <v>0.75711297071129702</v>
      </c>
      <c r="N115">
        <v>35000</v>
      </c>
      <c r="O115">
        <v>0.43053676099999999</v>
      </c>
      <c r="P115">
        <v>162</v>
      </c>
      <c r="Q115">
        <v>1475</v>
      </c>
      <c r="R115">
        <v>124</v>
      </c>
      <c r="S115">
        <v>80000</v>
      </c>
      <c r="T115">
        <v>64000</v>
      </c>
      <c r="U115">
        <v>16000</v>
      </c>
      <c r="V115">
        <v>2116</v>
      </c>
      <c r="W115">
        <v>528</v>
      </c>
      <c r="X115">
        <v>1588</v>
      </c>
      <c r="Y115" t="s">
        <v>141</v>
      </c>
    </row>
    <row r="116" spans="1:25" x14ac:dyDescent="0.3">
      <c r="A116">
        <v>5200</v>
      </c>
      <c r="B116" t="s">
        <v>152</v>
      </c>
      <c r="C116" t="s">
        <v>153</v>
      </c>
      <c r="D116">
        <v>1484075</v>
      </c>
      <c r="E116">
        <v>1055854</v>
      </c>
      <c r="F116">
        <v>736817</v>
      </c>
      <c r="G116">
        <v>79066</v>
      </c>
      <c r="H116">
        <v>6.9666584000000004E-2</v>
      </c>
      <c r="I116">
        <v>45000</v>
      </c>
      <c r="J116">
        <v>31000</v>
      </c>
      <c r="K116">
        <v>68000</v>
      </c>
      <c r="L116">
        <v>0.71145595741455114</v>
      </c>
      <c r="M116">
        <v>0.69783985285844441</v>
      </c>
      <c r="N116">
        <v>37000</v>
      </c>
      <c r="O116">
        <v>0.77993320399999999</v>
      </c>
      <c r="P116">
        <v>125148</v>
      </c>
      <c r="Q116">
        <v>141860</v>
      </c>
      <c r="R116">
        <v>48207</v>
      </c>
      <c r="S116">
        <v>64000</v>
      </c>
      <c r="T116">
        <v>46000</v>
      </c>
      <c r="U116">
        <v>18000</v>
      </c>
      <c r="Y116" t="s">
        <v>153</v>
      </c>
    </row>
    <row r="117" spans="1:25" x14ac:dyDescent="0.3">
      <c r="A117">
        <v>5201</v>
      </c>
      <c r="B117" t="s">
        <v>154</v>
      </c>
      <c r="C117" t="s">
        <v>153</v>
      </c>
      <c r="D117">
        <v>14041</v>
      </c>
      <c r="E117">
        <v>8751</v>
      </c>
      <c r="F117">
        <v>5763</v>
      </c>
      <c r="G117">
        <v>716</v>
      </c>
      <c r="H117">
        <v>7.5631139999999999E-2</v>
      </c>
      <c r="I117">
        <v>40000</v>
      </c>
      <c r="J117">
        <v>33000</v>
      </c>
      <c r="K117">
        <v>70000</v>
      </c>
      <c r="L117">
        <v>0.62324620753507587</v>
      </c>
      <c r="M117">
        <v>0.65855330819334934</v>
      </c>
      <c r="N117">
        <v>37000</v>
      </c>
      <c r="O117">
        <v>0.81709880899999998</v>
      </c>
      <c r="P117">
        <v>1488</v>
      </c>
      <c r="Q117">
        <v>615</v>
      </c>
      <c r="R117">
        <v>82</v>
      </c>
      <c r="S117">
        <v>61000</v>
      </c>
      <c r="T117">
        <v>40000</v>
      </c>
      <c r="U117">
        <v>21000</v>
      </c>
      <c r="Y117" t="s">
        <v>153</v>
      </c>
    </row>
    <row r="118" spans="1:25" x14ac:dyDescent="0.3">
      <c r="A118">
        <v>5202</v>
      </c>
      <c r="B118" t="s">
        <v>155</v>
      </c>
      <c r="C118" t="s">
        <v>153</v>
      </c>
      <c r="D118">
        <v>7638</v>
      </c>
      <c r="E118">
        <v>5128</v>
      </c>
      <c r="F118">
        <v>3297</v>
      </c>
      <c r="G118">
        <v>587</v>
      </c>
      <c r="H118">
        <v>0.102712161</v>
      </c>
      <c r="I118">
        <v>45000</v>
      </c>
      <c r="J118">
        <v>26100</v>
      </c>
      <c r="K118">
        <v>62000</v>
      </c>
      <c r="L118">
        <v>0.67137994239329668</v>
      </c>
      <c r="M118">
        <v>0.64294071762870519</v>
      </c>
      <c r="N118">
        <v>35900</v>
      </c>
      <c r="O118">
        <v>0.79985905599999996</v>
      </c>
      <c r="P118">
        <v>986</v>
      </c>
      <c r="Q118">
        <v>870</v>
      </c>
      <c r="R118">
        <v>622</v>
      </c>
      <c r="S118">
        <v>70000</v>
      </c>
      <c r="T118">
        <v>46000</v>
      </c>
      <c r="U118">
        <v>24000</v>
      </c>
      <c r="Y118" t="s">
        <v>153</v>
      </c>
    </row>
    <row r="119" spans="1:25" x14ac:dyDescent="0.3">
      <c r="A119">
        <v>5203</v>
      </c>
      <c r="B119" t="s">
        <v>156</v>
      </c>
      <c r="C119" t="s">
        <v>153</v>
      </c>
      <c r="D119">
        <v>17633</v>
      </c>
      <c r="E119">
        <v>13071</v>
      </c>
      <c r="F119">
        <v>8888</v>
      </c>
      <c r="G119">
        <v>954</v>
      </c>
      <c r="H119">
        <v>6.8021390000000001E-2</v>
      </c>
      <c r="I119">
        <v>39000</v>
      </c>
      <c r="J119">
        <v>25000</v>
      </c>
      <c r="K119">
        <v>50000</v>
      </c>
      <c r="L119">
        <v>0.74128055350762778</v>
      </c>
      <c r="M119">
        <v>0.67997857853262944</v>
      </c>
      <c r="N119">
        <v>25000</v>
      </c>
      <c r="O119">
        <v>0.79874621700000004</v>
      </c>
      <c r="P119">
        <v>2403</v>
      </c>
      <c r="Q119">
        <v>1245</v>
      </c>
      <c r="R119">
        <v>308</v>
      </c>
      <c r="S119">
        <v>50000</v>
      </c>
      <c r="T119">
        <v>40000</v>
      </c>
      <c r="U119">
        <v>10000</v>
      </c>
      <c r="Y119" t="s">
        <v>153</v>
      </c>
    </row>
    <row r="120" spans="1:25" x14ac:dyDescent="0.3">
      <c r="A120">
        <v>5205</v>
      </c>
      <c r="B120" t="s">
        <v>157</v>
      </c>
      <c r="C120" t="s">
        <v>153</v>
      </c>
      <c r="D120">
        <v>17969</v>
      </c>
      <c r="E120">
        <v>11878</v>
      </c>
      <c r="F120">
        <v>8631</v>
      </c>
      <c r="G120">
        <v>1084</v>
      </c>
      <c r="H120">
        <v>8.362907E-2</v>
      </c>
      <c r="I120">
        <v>62000</v>
      </c>
      <c r="J120">
        <v>40000</v>
      </c>
      <c r="K120">
        <v>84000</v>
      </c>
      <c r="L120">
        <v>0.66102732483721971</v>
      </c>
      <c r="M120">
        <v>0.7266374810574171</v>
      </c>
      <c r="N120">
        <v>44000</v>
      </c>
      <c r="O120">
        <v>0.43630163300000002</v>
      </c>
      <c r="P120">
        <v>559</v>
      </c>
      <c r="Q120">
        <v>1224</v>
      </c>
      <c r="R120">
        <v>272</v>
      </c>
      <c r="S120">
        <v>75000</v>
      </c>
      <c r="T120">
        <v>63000</v>
      </c>
      <c r="U120">
        <v>12000</v>
      </c>
      <c r="Y120" t="s">
        <v>153</v>
      </c>
    </row>
    <row r="121" spans="1:25" x14ac:dyDescent="0.3">
      <c r="A121">
        <v>5206</v>
      </c>
      <c r="B121" t="s">
        <v>158</v>
      </c>
      <c r="C121" t="s">
        <v>153</v>
      </c>
      <c r="D121">
        <v>10871</v>
      </c>
      <c r="E121">
        <v>6897</v>
      </c>
      <c r="F121">
        <v>5226</v>
      </c>
      <c r="G121">
        <v>660</v>
      </c>
      <c r="H121">
        <v>8.7336245000000007E-2</v>
      </c>
      <c r="I121">
        <v>47000</v>
      </c>
      <c r="J121">
        <v>35000</v>
      </c>
      <c r="K121">
        <v>70000</v>
      </c>
      <c r="L121">
        <v>0.63444025388648695</v>
      </c>
      <c r="M121">
        <v>0.75772074815137014</v>
      </c>
      <c r="N121">
        <v>35000</v>
      </c>
      <c r="O121">
        <v>0.74756092600000001</v>
      </c>
      <c r="P121">
        <v>434</v>
      </c>
      <c r="Q121">
        <v>593</v>
      </c>
      <c r="R121">
        <v>37</v>
      </c>
      <c r="S121">
        <v>71000</v>
      </c>
      <c r="T121">
        <v>49000</v>
      </c>
      <c r="U121">
        <v>22000</v>
      </c>
      <c r="Y121" t="s">
        <v>153</v>
      </c>
    </row>
    <row r="122" spans="1:25" x14ac:dyDescent="0.3">
      <c r="A122">
        <v>5299</v>
      </c>
      <c r="B122" t="s">
        <v>159</v>
      </c>
      <c r="C122" t="s">
        <v>153</v>
      </c>
      <c r="D122">
        <v>34102</v>
      </c>
      <c r="E122">
        <v>23921</v>
      </c>
      <c r="F122">
        <v>15688</v>
      </c>
      <c r="G122">
        <v>2137</v>
      </c>
      <c r="H122">
        <v>8.2009364000000001E-2</v>
      </c>
      <c r="I122">
        <v>45000</v>
      </c>
      <c r="J122">
        <v>30000</v>
      </c>
      <c r="K122">
        <v>70000</v>
      </c>
      <c r="L122">
        <v>0.70145446014896484</v>
      </c>
      <c r="M122">
        <v>0.65582542535847166</v>
      </c>
      <c r="N122">
        <v>40000</v>
      </c>
      <c r="O122">
        <v>0.90558992999999999</v>
      </c>
      <c r="P122">
        <v>2960</v>
      </c>
      <c r="Q122">
        <v>3948</v>
      </c>
      <c r="R122">
        <v>1650</v>
      </c>
      <c r="S122">
        <v>68000</v>
      </c>
      <c r="T122">
        <v>47000</v>
      </c>
      <c r="U122">
        <v>21000</v>
      </c>
      <c r="Y122" t="s">
        <v>153</v>
      </c>
    </row>
    <row r="123" spans="1:25" x14ac:dyDescent="0.3">
      <c r="A123">
        <v>5301</v>
      </c>
      <c r="B123" t="s">
        <v>160</v>
      </c>
      <c r="C123" t="s">
        <v>105</v>
      </c>
      <c r="D123">
        <v>757141</v>
      </c>
      <c r="E123">
        <v>613369</v>
      </c>
      <c r="F123">
        <v>517599</v>
      </c>
      <c r="G123">
        <v>35037</v>
      </c>
      <c r="H123">
        <v>5.4035589000000002E-2</v>
      </c>
      <c r="I123">
        <v>50000</v>
      </c>
      <c r="J123">
        <v>35000</v>
      </c>
      <c r="K123">
        <v>74000</v>
      </c>
      <c r="L123">
        <v>0.81011198706713805</v>
      </c>
      <c r="M123">
        <v>0.84386234061388821</v>
      </c>
      <c r="N123">
        <v>39000</v>
      </c>
      <c r="O123">
        <v>0.12503465499999999</v>
      </c>
      <c r="P123">
        <v>24348</v>
      </c>
      <c r="Q123">
        <v>88858</v>
      </c>
      <c r="R123">
        <v>18404</v>
      </c>
      <c r="S123">
        <v>68000</v>
      </c>
      <c r="T123">
        <v>52000</v>
      </c>
      <c r="U123">
        <v>16000</v>
      </c>
      <c r="Y123" t="s">
        <v>105</v>
      </c>
    </row>
    <row r="124" spans="1:25" x14ac:dyDescent="0.3">
      <c r="A124">
        <v>5401</v>
      </c>
      <c r="B124" t="s">
        <v>161</v>
      </c>
      <c r="C124" t="s">
        <v>105</v>
      </c>
      <c r="D124">
        <v>54636</v>
      </c>
      <c r="E124">
        <v>37879</v>
      </c>
      <c r="F124">
        <v>31262</v>
      </c>
      <c r="G124">
        <v>2836</v>
      </c>
      <c r="H124">
        <v>6.9654917999999996E-2</v>
      </c>
      <c r="I124">
        <v>56000</v>
      </c>
      <c r="J124">
        <v>40000</v>
      </c>
      <c r="K124">
        <v>85000</v>
      </c>
      <c r="L124">
        <v>0.6932974595504795</v>
      </c>
      <c r="M124">
        <v>0.82531217825180181</v>
      </c>
      <c r="N124">
        <v>45000</v>
      </c>
      <c r="O124">
        <v>0.47646118300000001</v>
      </c>
      <c r="P124">
        <v>919</v>
      </c>
      <c r="Q124">
        <v>2313</v>
      </c>
      <c r="R124">
        <v>496</v>
      </c>
      <c r="S124">
        <v>75000</v>
      </c>
      <c r="T124">
        <v>58000</v>
      </c>
      <c r="U124">
        <v>17000</v>
      </c>
      <c r="Y124" t="s">
        <v>105</v>
      </c>
    </row>
    <row r="125" spans="1:25" x14ac:dyDescent="0.3">
      <c r="A125">
        <v>5402</v>
      </c>
      <c r="B125" t="s">
        <v>162</v>
      </c>
      <c r="C125" t="s">
        <v>105</v>
      </c>
      <c r="D125">
        <v>14782</v>
      </c>
      <c r="E125">
        <v>11147</v>
      </c>
      <c r="F125">
        <v>8196</v>
      </c>
      <c r="G125">
        <v>959</v>
      </c>
      <c r="H125">
        <v>7.9216916999999998E-2</v>
      </c>
      <c r="I125">
        <v>60000</v>
      </c>
      <c r="J125">
        <v>38000</v>
      </c>
      <c r="K125">
        <v>90000</v>
      </c>
      <c r="L125">
        <v>0.75409281558652419</v>
      </c>
      <c r="M125">
        <v>0.73526509374719651</v>
      </c>
      <c r="N125">
        <v>52000</v>
      </c>
      <c r="O125">
        <v>0.251388889</v>
      </c>
      <c r="P125">
        <v>1550</v>
      </c>
      <c r="Q125">
        <v>1871</v>
      </c>
      <c r="R125">
        <v>340</v>
      </c>
      <c r="S125">
        <v>89000</v>
      </c>
      <c r="T125">
        <v>63000</v>
      </c>
      <c r="U125">
        <v>26000</v>
      </c>
      <c r="Y125" t="s">
        <v>105</v>
      </c>
    </row>
    <row r="126" spans="1:25" x14ac:dyDescent="0.3">
      <c r="A126">
        <v>5403</v>
      </c>
      <c r="B126" t="s">
        <v>163</v>
      </c>
      <c r="C126" t="s">
        <v>153</v>
      </c>
      <c r="D126">
        <v>81786</v>
      </c>
      <c r="E126">
        <v>61402</v>
      </c>
      <c r="F126">
        <v>44959</v>
      </c>
      <c r="G126">
        <v>4794</v>
      </c>
      <c r="H126">
        <v>7.2421293999999997E-2</v>
      </c>
      <c r="I126">
        <v>38000</v>
      </c>
      <c r="J126">
        <v>29000</v>
      </c>
      <c r="K126">
        <v>52000</v>
      </c>
      <c r="L126">
        <v>0.7507641894700805</v>
      </c>
      <c r="M126">
        <v>0.73220741995374738</v>
      </c>
      <c r="N126">
        <v>23000</v>
      </c>
      <c r="O126">
        <v>0.90407454399999998</v>
      </c>
      <c r="P126">
        <v>2878</v>
      </c>
      <c r="Q126">
        <v>4595</v>
      </c>
      <c r="R126">
        <v>724</v>
      </c>
      <c r="S126">
        <v>50100</v>
      </c>
      <c r="T126">
        <v>38700</v>
      </c>
      <c r="U126">
        <v>11400</v>
      </c>
      <c r="Y126" t="s">
        <v>153</v>
      </c>
    </row>
    <row r="127" spans="1:25" x14ac:dyDescent="0.3">
      <c r="A127">
        <v>5404</v>
      </c>
      <c r="B127" t="s">
        <v>164</v>
      </c>
      <c r="C127" t="s">
        <v>153</v>
      </c>
      <c r="D127">
        <v>319163</v>
      </c>
      <c r="E127">
        <v>225081</v>
      </c>
      <c r="F127">
        <v>164020</v>
      </c>
      <c r="G127">
        <v>14208</v>
      </c>
      <c r="H127">
        <v>5.9375901000000002E-2</v>
      </c>
      <c r="I127">
        <v>40000</v>
      </c>
      <c r="J127">
        <v>30000</v>
      </c>
      <c r="K127">
        <v>53000</v>
      </c>
      <c r="L127">
        <v>0.70522272318533163</v>
      </c>
      <c r="M127">
        <v>0.72871544021929879</v>
      </c>
      <c r="N127">
        <v>23000</v>
      </c>
      <c r="O127">
        <v>0.81070414700000004</v>
      </c>
      <c r="P127">
        <v>27449</v>
      </c>
      <c r="Q127">
        <v>14416</v>
      </c>
      <c r="R127">
        <v>4344</v>
      </c>
      <c r="S127">
        <v>53000</v>
      </c>
      <c r="T127">
        <v>40000</v>
      </c>
      <c r="U127">
        <v>13000</v>
      </c>
      <c r="Y127" t="s">
        <v>153</v>
      </c>
    </row>
    <row r="128" spans="1:25" x14ac:dyDescent="0.3">
      <c r="A128">
        <v>5500</v>
      </c>
      <c r="B128" t="s">
        <v>165</v>
      </c>
      <c r="C128" t="s">
        <v>136</v>
      </c>
      <c r="D128">
        <v>127363</v>
      </c>
      <c r="E128">
        <v>80165</v>
      </c>
      <c r="F128">
        <v>57036</v>
      </c>
      <c r="G128">
        <v>6132</v>
      </c>
      <c r="H128">
        <v>7.1056931000000004E-2</v>
      </c>
      <c r="I128">
        <v>50000</v>
      </c>
      <c r="J128">
        <v>35000</v>
      </c>
      <c r="K128">
        <v>75000</v>
      </c>
      <c r="L128">
        <v>0.62942141752314251</v>
      </c>
      <c r="M128">
        <v>0.71148256720513936</v>
      </c>
      <c r="N128">
        <v>40000</v>
      </c>
      <c r="O128">
        <v>0.50284631499999999</v>
      </c>
      <c r="P128">
        <v>3602</v>
      </c>
      <c r="Q128">
        <v>4778</v>
      </c>
      <c r="R128">
        <v>1634</v>
      </c>
      <c r="S128">
        <v>69000</v>
      </c>
      <c r="T128">
        <v>50000</v>
      </c>
      <c r="U128">
        <v>19000</v>
      </c>
      <c r="Y128" t="s">
        <v>136</v>
      </c>
    </row>
    <row r="129" spans="1:25" x14ac:dyDescent="0.3">
      <c r="A129">
        <v>5501</v>
      </c>
      <c r="B129" t="s">
        <v>166</v>
      </c>
      <c r="C129" t="s">
        <v>136</v>
      </c>
      <c r="D129">
        <v>757616</v>
      </c>
      <c r="E129">
        <v>535446</v>
      </c>
      <c r="F129">
        <v>430580</v>
      </c>
      <c r="G129">
        <v>34974</v>
      </c>
      <c r="H129">
        <v>6.1312717000000003E-2</v>
      </c>
      <c r="I129">
        <v>69000</v>
      </c>
      <c r="J129">
        <v>42000</v>
      </c>
      <c r="K129">
        <v>110000</v>
      </c>
      <c r="L129">
        <v>0.70675117737745774</v>
      </c>
      <c r="M129">
        <v>0.80415205268131618</v>
      </c>
      <c r="N129">
        <v>68000</v>
      </c>
      <c r="O129">
        <v>0.34082495699999998</v>
      </c>
      <c r="P129">
        <v>25582</v>
      </c>
      <c r="Q129">
        <v>37057</v>
      </c>
      <c r="R129">
        <v>10653</v>
      </c>
      <c r="S129">
        <v>100000</v>
      </c>
      <c r="T129">
        <v>70000</v>
      </c>
      <c r="U129">
        <v>30000</v>
      </c>
      <c r="Y129" t="s">
        <v>136</v>
      </c>
    </row>
    <row r="130" spans="1:25" x14ac:dyDescent="0.3">
      <c r="A130">
        <v>5502</v>
      </c>
      <c r="B130" t="s">
        <v>167</v>
      </c>
      <c r="C130" t="s">
        <v>41</v>
      </c>
      <c r="D130">
        <v>143087</v>
      </c>
      <c r="E130">
        <v>102399</v>
      </c>
      <c r="F130">
        <v>66046</v>
      </c>
      <c r="G130">
        <v>8684</v>
      </c>
      <c r="H130">
        <v>7.8175778000000001E-2</v>
      </c>
      <c r="I130">
        <v>43000</v>
      </c>
      <c r="J130">
        <v>30000</v>
      </c>
      <c r="K130">
        <v>68000</v>
      </c>
      <c r="L130">
        <v>0.71564153277376696</v>
      </c>
      <c r="M130">
        <v>0.64498676744890082</v>
      </c>
      <c r="N130">
        <v>38000</v>
      </c>
      <c r="O130">
        <v>0.96895368299999995</v>
      </c>
      <c r="P130">
        <v>9805</v>
      </c>
      <c r="Q130">
        <v>16693</v>
      </c>
      <c r="R130">
        <v>6866</v>
      </c>
      <c r="S130">
        <v>65000</v>
      </c>
      <c r="T130">
        <v>45000</v>
      </c>
      <c r="U130">
        <v>20000</v>
      </c>
      <c r="Y130" t="s">
        <v>41</v>
      </c>
    </row>
    <row r="131" spans="1:25" x14ac:dyDescent="0.3">
      <c r="A131">
        <v>5503</v>
      </c>
      <c r="B131" t="s">
        <v>168</v>
      </c>
      <c r="C131" t="s">
        <v>136</v>
      </c>
      <c r="D131">
        <v>75085</v>
      </c>
      <c r="E131">
        <v>59534</v>
      </c>
      <c r="F131">
        <v>48763</v>
      </c>
      <c r="G131">
        <v>4106</v>
      </c>
      <c r="H131">
        <v>6.4519170000000001E-2</v>
      </c>
      <c r="I131">
        <v>49000</v>
      </c>
      <c r="J131">
        <v>35000</v>
      </c>
      <c r="K131">
        <v>72000</v>
      </c>
      <c r="L131">
        <v>0.79288806019844171</v>
      </c>
      <c r="M131">
        <v>0.81907817381664261</v>
      </c>
      <c r="N131">
        <v>37000</v>
      </c>
      <c r="O131">
        <v>0.61822302799999995</v>
      </c>
      <c r="P131">
        <v>3373</v>
      </c>
      <c r="Q131">
        <v>10605</v>
      </c>
      <c r="R131">
        <v>1895</v>
      </c>
      <c r="S131">
        <v>65000</v>
      </c>
      <c r="T131">
        <v>50000</v>
      </c>
      <c r="U131">
        <v>15000</v>
      </c>
      <c r="Y131" t="s">
        <v>136</v>
      </c>
    </row>
    <row r="132" spans="1:25" x14ac:dyDescent="0.3">
      <c r="A132">
        <v>5504</v>
      </c>
      <c r="B132" t="s">
        <v>169</v>
      </c>
      <c r="C132" t="s">
        <v>136</v>
      </c>
      <c r="D132">
        <v>115423</v>
      </c>
      <c r="E132">
        <v>83671</v>
      </c>
      <c r="F132">
        <v>63070</v>
      </c>
      <c r="G132">
        <v>6202</v>
      </c>
      <c r="H132">
        <v>6.9008490000000006E-2</v>
      </c>
      <c r="I132">
        <v>54000</v>
      </c>
      <c r="J132">
        <v>38300</v>
      </c>
      <c r="K132">
        <v>78000</v>
      </c>
      <c r="L132">
        <v>0.72490751410030929</v>
      </c>
      <c r="M132">
        <v>0.75378566050363927</v>
      </c>
      <c r="N132">
        <v>39700</v>
      </c>
      <c r="O132">
        <v>0.47318952399999997</v>
      </c>
      <c r="P132">
        <v>5350</v>
      </c>
      <c r="Q132">
        <v>6830</v>
      </c>
      <c r="R132">
        <v>1905</v>
      </c>
      <c r="S132">
        <v>73000</v>
      </c>
      <c r="T132">
        <v>55000</v>
      </c>
      <c r="U132">
        <v>18000</v>
      </c>
      <c r="Y132" t="s">
        <v>136</v>
      </c>
    </row>
    <row r="133" spans="1:25" x14ac:dyDescent="0.3">
      <c r="A133">
        <v>5505</v>
      </c>
      <c r="B133" t="s">
        <v>170</v>
      </c>
      <c r="C133" t="s">
        <v>136</v>
      </c>
      <c r="D133">
        <v>77371</v>
      </c>
      <c r="E133">
        <v>56564</v>
      </c>
      <c r="F133">
        <v>42091</v>
      </c>
      <c r="G133">
        <v>4278</v>
      </c>
      <c r="H133">
        <v>7.0313269999999997E-2</v>
      </c>
      <c r="I133">
        <v>55000</v>
      </c>
      <c r="J133">
        <v>40000</v>
      </c>
      <c r="K133">
        <v>89000</v>
      </c>
      <c r="L133">
        <v>0.73107495056287242</v>
      </c>
      <c r="M133">
        <v>0.74413054239445586</v>
      </c>
      <c r="N133">
        <v>49000</v>
      </c>
      <c r="O133">
        <v>0.632986838</v>
      </c>
      <c r="P133">
        <v>6774</v>
      </c>
      <c r="Q133">
        <v>9570</v>
      </c>
      <c r="R133">
        <v>2499</v>
      </c>
      <c r="S133">
        <v>86000</v>
      </c>
      <c r="T133">
        <v>60000</v>
      </c>
      <c r="U133">
        <v>26000</v>
      </c>
      <c r="Y133" t="s">
        <v>136</v>
      </c>
    </row>
    <row r="134" spans="1:25" x14ac:dyDescent="0.3">
      <c r="A134">
        <v>5506</v>
      </c>
      <c r="B134" t="s">
        <v>171</v>
      </c>
      <c r="C134" t="s">
        <v>136</v>
      </c>
      <c r="D134">
        <v>748956</v>
      </c>
      <c r="E134">
        <v>541630</v>
      </c>
      <c r="F134">
        <v>421761</v>
      </c>
      <c r="G134">
        <v>40376</v>
      </c>
      <c r="H134">
        <v>6.9373854999999998E-2</v>
      </c>
      <c r="I134">
        <v>58000</v>
      </c>
      <c r="J134">
        <v>38000</v>
      </c>
      <c r="K134">
        <v>90000</v>
      </c>
      <c r="L134">
        <v>0.7231799998931846</v>
      </c>
      <c r="M134">
        <v>0.77868840352269997</v>
      </c>
      <c r="N134">
        <v>52000</v>
      </c>
      <c r="O134">
        <v>0.48592987700000001</v>
      </c>
      <c r="P134">
        <v>36854</v>
      </c>
      <c r="Q134">
        <v>66947</v>
      </c>
      <c r="R134">
        <v>19803</v>
      </c>
      <c r="S134">
        <v>92000</v>
      </c>
      <c r="T134">
        <v>60000</v>
      </c>
      <c r="U134">
        <v>32000</v>
      </c>
      <c r="Y134" t="s">
        <v>136</v>
      </c>
    </row>
    <row r="135" spans="1:25" x14ac:dyDescent="0.3">
      <c r="A135">
        <v>5507</v>
      </c>
      <c r="B135" t="s">
        <v>172</v>
      </c>
      <c r="C135" t="s">
        <v>136</v>
      </c>
      <c r="D135">
        <v>674558</v>
      </c>
      <c r="E135">
        <v>459174</v>
      </c>
      <c r="F135">
        <v>336515</v>
      </c>
      <c r="G135">
        <v>32344</v>
      </c>
      <c r="H135">
        <v>6.5804303999999994E-2</v>
      </c>
      <c r="I135">
        <v>47000</v>
      </c>
      <c r="J135">
        <v>33000</v>
      </c>
      <c r="K135">
        <v>70000</v>
      </c>
      <c r="L135">
        <v>0.68070351252227379</v>
      </c>
      <c r="M135">
        <v>0.73287032802379926</v>
      </c>
      <c r="N135">
        <v>37000</v>
      </c>
      <c r="O135">
        <v>0.53233378799999997</v>
      </c>
      <c r="P135">
        <v>29051</v>
      </c>
      <c r="Q135">
        <v>48899</v>
      </c>
      <c r="R135">
        <v>13748</v>
      </c>
      <c r="S135">
        <v>64000</v>
      </c>
      <c r="T135">
        <v>49000</v>
      </c>
      <c r="U135">
        <v>15000</v>
      </c>
      <c r="Y135" t="s">
        <v>136</v>
      </c>
    </row>
    <row r="136" spans="1:25" x14ac:dyDescent="0.3">
      <c r="A136">
        <v>5599</v>
      </c>
      <c r="B136" t="s">
        <v>173</v>
      </c>
      <c r="C136" t="s">
        <v>136</v>
      </c>
      <c r="D136">
        <v>15882</v>
      </c>
      <c r="E136">
        <v>12307</v>
      </c>
      <c r="F136">
        <v>9444</v>
      </c>
      <c r="G136">
        <v>708</v>
      </c>
      <c r="H136">
        <v>5.4398770999999999E-2</v>
      </c>
      <c r="I136">
        <v>52000</v>
      </c>
      <c r="J136">
        <v>40000</v>
      </c>
      <c r="K136">
        <v>80000</v>
      </c>
      <c r="L136">
        <v>0.77490240523863496</v>
      </c>
      <c r="M136">
        <v>0.76736816445925082</v>
      </c>
      <c r="N136">
        <v>40000</v>
      </c>
      <c r="O136">
        <v>0.54340542199999997</v>
      </c>
      <c r="P136">
        <v>744</v>
      </c>
      <c r="Q136">
        <v>1654</v>
      </c>
      <c r="R136">
        <v>573</v>
      </c>
      <c r="S136">
        <v>73000</v>
      </c>
      <c r="T136">
        <v>54000</v>
      </c>
      <c r="U136">
        <v>19000</v>
      </c>
      <c r="Y136" t="s">
        <v>136</v>
      </c>
    </row>
    <row r="137" spans="1:25" x14ac:dyDescent="0.3">
      <c r="A137">
        <v>5601</v>
      </c>
      <c r="B137" t="s">
        <v>174</v>
      </c>
      <c r="C137" t="s">
        <v>56</v>
      </c>
      <c r="D137">
        <v>92346</v>
      </c>
      <c r="E137">
        <v>79055</v>
      </c>
      <c r="F137">
        <v>65916</v>
      </c>
      <c r="G137">
        <v>4257</v>
      </c>
      <c r="H137">
        <v>5.1097081000000003E-2</v>
      </c>
      <c r="I137">
        <v>65000</v>
      </c>
      <c r="J137">
        <v>45000</v>
      </c>
      <c r="K137">
        <v>95000</v>
      </c>
      <c r="L137">
        <v>0.85607389599982675</v>
      </c>
      <c r="M137">
        <v>0.83379925368414398</v>
      </c>
      <c r="N137">
        <v>50000</v>
      </c>
      <c r="O137">
        <v>0.34222881100000002</v>
      </c>
      <c r="P137">
        <v>3275</v>
      </c>
      <c r="Q137">
        <v>5351</v>
      </c>
      <c r="R137">
        <v>703</v>
      </c>
      <c r="S137">
        <v>75000</v>
      </c>
      <c r="T137">
        <v>65000</v>
      </c>
      <c r="U137">
        <v>10000</v>
      </c>
      <c r="Y137" t="s">
        <v>56</v>
      </c>
    </row>
    <row r="138" spans="1:25" x14ac:dyDescent="0.3">
      <c r="A138">
        <v>5701</v>
      </c>
      <c r="B138" t="s">
        <v>175</v>
      </c>
      <c r="C138" t="s">
        <v>56</v>
      </c>
      <c r="D138">
        <v>15726</v>
      </c>
      <c r="E138">
        <v>12607</v>
      </c>
      <c r="F138">
        <v>10453</v>
      </c>
      <c r="G138">
        <v>692</v>
      </c>
      <c r="H138">
        <v>5.2033988000000003E-2</v>
      </c>
      <c r="I138">
        <v>48000</v>
      </c>
      <c r="J138">
        <v>32000</v>
      </c>
      <c r="K138">
        <v>75000</v>
      </c>
      <c r="L138">
        <v>0.80166603077705711</v>
      </c>
      <c r="M138">
        <v>0.82914253985880859</v>
      </c>
      <c r="N138">
        <v>43000</v>
      </c>
      <c r="O138">
        <v>0.23244353200000001</v>
      </c>
      <c r="P138">
        <v>221</v>
      </c>
      <c r="Q138">
        <v>1659</v>
      </c>
      <c r="R138">
        <v>81</v>
      </c>
      <c r="S138">
        <v>62000</v>
      </c>
      <c r="T138">
        <v>50000</v>
      </c>
      <c r="U138">
        <v>12000</v>
      </c>
      <c r="Y138" t="s">
        <v>56</v>
      </c>
    </row>
    <row r="139" spans="1:25" x14ac:dyDescent="0.3">
      <c r="A139">
        <v>5901</v>
      </c>
      <c r="B139" t="s">
        <v>176</v>
      </c>
      <c r="C139" t="s">
        <v>56</v>
      </c>
      <c r="D139">
        <v>126639</v>
      </c>
      <c r="E139">
        <v>98814</v>
      </c>
      <c r="F139">
        <v>83519</v>
      </c>
      <c r="G139">
        <v>4902</v>
      </c>
      <c r="H139">
        <v>4.7263682000000001E-2</v>
      </c>
      <c r="I139">
        <v>67000</v>
      </c>
      <c r="J139">
        <v>42500</v>
      </c>
      <c r="K139">
        <v>98000</v>
      </c>
      <c r="L139">
        <v>0.78028095610356996</v>
      </c>
      <c r="M139">
        <v>0.84521424089703889</v>
      </c>
      <c r="N139">
        <v>55500</v>
      </c>
      <c r="O139">
        <v>0.32129606700000002</v>
      </c>
      <c r="P139">
        <v>4575</v>
      </c>
      <c r="Q139">
        <v>6147</v>
      </c>
      <c r="R139">
        <v>557</v>
      </c>
      <c r="S139">
        <v>90000</v>
      </c>
      <c r="T139">
        <v>69000</v>
      </c>
      <c r="U139">
        <v>21000</v>
      </c>
      <c r="Y139" t="s">
        <v>56</v>
      </c>
    </row>
    <row r="140" spans="1:25" x14ac:dyDescent="0.3">
      <c r="A140">
        <v>6000</v>
      </c>
      <c r="B140" t="s">
        <v>177</v>
      </c>
      <c r="C140" t="s">
        <v>178</v>
      </c>
      <c r="D140">
        <v>571961</v>
      </c>
      <c r="E140">
        <v>386961</v>
      </c>
      <c r="F140">
        <v>256747</v>
      </c>
      <c r="G140">
        <v>29912</v>
      </c>
      <c r="H140">
        <v>7.1753267999999995E-2</v>
      </c>
      <c r="I140">
        <v>45000</v>
      </c>
      <c r="J140">
        <v>30000</v>
      </c>
      <c r="K140">
        <v>70000</v>
      </c>
      <c r="L140">
        <v>0.67655137325796688</v>
      </c>
      <c r="M140">
        <v>0.66349580448675705</v>
      </c>
      <c r="N140">
        <v>40000</v>
      </c>
      <c r="O140">
        <v>0.66703385299999995</v>
      </c>
      <c r="P140">
        <v>20792</v>
      </c>
      <c r="Q140">
        <v>32725</v>
      </c>
      <c r="R140">
        <v>11880</v>
      </c>
      <c r="S140">
        <v>58000</v>
      </c>
      <c r="T140">
        <v>46000</v>
      </c>
      <c r="U140">
        <v>12000</v>
      </c>
      <c r="Y140" t="s">
        <v>178</v>
      </c>
    </row>
    <row r="141" spans="1:25" x14ac:dyDescent="0.3">
      <c r="A141">
        <v>6001</v>
      </c>
      <c r="B141" t="s">
        <v>179</v>
      </c>
      <c r="C141" t="s">
        <v>178</v>
      </c>
      <c r="D141">
        <v>174817</v>
      </c>
      <c r="E141">
        <v>135071</v>
      </c>
      <c r="F141">
        <v>81519</v>
      </c>
      <c r="G141">
        <v>11789</v>
      </c>
      <c r="H141">
        <v>8.0273730000000001E-2</v>
      </c>
      <c r="I141">
        <v>42000</v>
      </c>
      <c r="J141">
        <v>29000</v>
      </c>
      <c r="K141">
        <v>62000</v>
      </c>
      <c r="L141">
        <v>0.77264224875155163</v>
      </c>
      <c r="M141">
        <v>0.60352703393030327</v>
      </c>
      <c r="N141">
        <v>33000</v>
      </c>
      <c r="O141">
        <v>0.62950456399999999</v>
      </c>
      <c r="P141">
        <v>6994</v>
      </c>
      <c r="Q141">
        <v>25313</v>
      </c>
      <c r="R141">
        <v>11068</v>
      </c>
      <c r="S141">
        <v>58600</v>
      </c>
      <c r="T141">
        <v>45000</v>
      </c>
      <c r="U141">
        <v>13600</v>
      </c>
      <c r="Y141" t="s">
        <v>178</v>
      </c>
    </row>
    <row r="142" spans="1:25" x14ac:dyDescent="0.3">
      <c r="A142">
        <v>6002</v>
      </c>
      <c r="B142" t="s">
        <v>180</v>
      </c>
      <c r="C142" t="s">
        <v>178</v>
      </c>
      <c r="D142">
        <v>276262</v>
      </c>
      <c r="E142">
        <v>192704</v>
      </c>
      <c r="F142">
        <v>116142</v>
      </c>
      <c r="G142">
        <v>11155</v>
      </c>
      <c r="H142">
        <v>5.4719192999999999E-2</v>
      </c>
      <c r="I142">
        <v>45000</v>
      </c>
      <c r="J142">
        <v>30000</v>
      </c>
      <c r="K142">
        <v>67000</v>
      </c>
      <c r="L142">
        <v>0.69754074031173308</v>
      </c>
      <c r="M142">
        <v>0.60269636333444043</v>
      </c>
      <c r="N142">
        <v>37000</v>
      </c>
      <c r="O142">
        <v>0.44458228500000002</v>
      </c>
      <c r="P142">
        <v>13752</v>
      </c>
      <c r="Q142">
        <v>28786</v>
      </c>
      <c r="R142">
        <v>9286</v>
      </c>
      <c r="S142">
        <v>60000</v>
      </c>
      <c r="T142">
        <v>46400</v>
      </c>
      <c r="U142">
        <v>13600</v>
      </c>
      <c r="Y142" t="s">
        <v>178</v>
      </c>
    </row>
    <row r="143" spans="1:25" x14ac:dyDescent="0.3">
      <c r="A143">
        <v>6003</v>
      </c>
      <c r="B143" t="s">
        <v>181</v>
      </c>
      <c r="C143" t="s">
        <v>178</v>
      </c>
      <c r="D143">
        <v>55141</v>
      </c>
      <c r="E143">
        <v>41098</v>
      </c>
      <c r="F143">
        <v>23479</v>
      </c>
      <c r="G143">
        <v>4297</v>
      </c>
      <c r="H143">
        <v>9.4658002000000005E-2</v>
      </c>
      <c r="I143">
        <v>40000</v>
      </c>
      <c r="J143">
        <v>27000</v>
      </c>
      <c r="K143">
        <v>59000</v>
      </c>
      <c r="L143">
        <v>0.74532561977475931</v>
      </c>
      <c r="M143">
        <v>0.57129300695897611</v>
      </c>
      <c r="N143">
        <v>32000</v>
      </c>
      <c r="O143">
        <v>0.69738424499999996</v>
      </c>
      <c r="P143">
        <v>3849</v>
      </c>
      <c r="Q143">
        <v>7635</v>
      </c>
      <c r="R143">
        <v>2840</v>
      </c>
      <c r="S143">
        <v>53000</v>
      </c>
      <c r="T143">
        <v>40000</v>
      </c>
      <c r="U143">
        <v>13000</v>
      </c>
      <c r="Y143" t="s">
        <v>178</v>
      </c>
    </row>
    <row r="144" spans="1:25" x14ac:dyDescent="0.3">
      <c r="A144">
        <v>6004</v>
      </c>
      <c r="B144" t="s">
        <v>182</v>
      </c>
      <c r="C144" t="s">
        <v>178</v>
      </c>
      <c r="D144">
        <v>504657</v>
      </c>
      <c r="E144">
        <v>379980</v>
      </c>
      <c r="F144">
        <v>266671</v>
      </c>
      <c r="G144">
        <v>30330</v>
      </c>
      <c r="H144">
        <v>7.3919718999999995E-2</v>
      </c>
      <c r="I144">
        <v>46600</v>
      </c>
      <c r="J144">
        <v>32000</v>
      </c>
      <c r="K144">
        <v>70000</v>
      </c>
      <c r="L144">
        <v>0.75294705116544502</v>
      </c>
      <c r="M144">
        <v>0.70180272645928732</v>
      </c>
      <c r="N144">
        <v>38000</v>
      </c>
      <c r="O144">
        <v>0.37435562300000003</v>
      </c>
      <c r="P144">
        <v>37389</v>
      </c>
      <c r="Q144">
        <v>38119</v>
      </c>
      <c r="R144">
        <v>14839</v>
      </c>
      <c r="S144">
        <v>60000</v>
      </c>
      <c r="T144">
        <v>48000</v>
      </c>
      <c r="U144">
        <v>12000</v>
      </c>
      <c r="Y144" t="s">
        <v>178</v>
      </c>
    </row>
    <row r="145" spans="1:25" x14ac:dyDescent="0.3">
      <c r="A145">
        <v>6005</v>
      </c>
      <c r="B145" t="s">
        <v>183</v>
      </c>
      <c r="C145" t="s">
        <v>178</v>
      </c>
      <c r="D145">
        <v>133508</v>
      </c>
      <c r="E145">
        <v>107651</v>
      </c>
      <c r="F145">
        <v>69303</v>
      </c>
      <c r="G145">
        <v>10080</v>
      </c>
      <c r="H145">
        <v>8.5618911000000006E-2</v>
      </c>
      <c r="I145">
        <v>47000</v>
      </c>
      <c r="J145">
        <v>30000</v>
      </c>
      <c r="K145">
        <v>70000</v>
      </c>
      <c r="L145">
        <v>0.80632621266141358</v>
      </c>
      <c r="M145">
        <v>0.64377479075902688</v>
      </c>
      <c r="N145">
        <v>40000</v>
      </c>
      <c r="O145">
        <v>0.68699295199999999</v>
      </c>
      <c r="P145">
        <v>7368</v>
      </c>
      <c r="Q145">
        <v>20721</v>
      </c>
      <c r="R145">
        <v>5862</v>
      </c>
      <c r="S145">
        <v>57000</v>
      </c>
      <c r="T145">
        <v>50000</v>
      </c>
      <c r="U145">
        <v>7000</v>
      </c>
      <c r="Y145" t="s">
        <v>178</v>
      </c>
    </row>
    <row r="146" spans="1:25" x14ac:dyDescent="0.3">
      <c r="A146">
        <v>6006</v>
      </c>
      <c r="B146" t="s">
        <v>184</v>
      </c>
      <c r="C146" t="s">
        <v>41</v>
      </c>
      <c r="D146">
        <v>90852</v>
      </c>
      <c r="E146">
        <v>61295</v>
      </c>
      <c r="F146">
        <v>38989</v>
      </c>
      <c r="G146">
        <v>4185</v>
      </c>
      <c r="H146">
        <v>6.3912645000000004E-2</v>
      </c>
      <c r="I146">
        <v>44500</v>
      </c>
      <c r="J146">
        <v>30000</v>
      </c>
      <c r="K146">
        <v>70000</v>
      </c>
      <c r="L146">
        <v>0.6746686919385374</v>
      </c>
      <c r="M146">
        <v>0.63608777224895996</v>
      </c>
      <c r="N146">
        <v>40000</v>
      </c>
      <c r="O146">
        <v>0.84593437900000001</v>
      </c>
      <c r="P146">
        <v>5139</v>
      </c>
      <c r="Q146">
        <v>9738</v>
      </c>
      <c r="R146">
        <v>3426</v>
      </c>
      <c r="S146">
        <v>65000</v>
      </c>
      <c r="T146">
        <v>45500</v>
      </c>
      <c r="U146">
        <v>19500</v>
      </c>
      <c r="Y146" t="s">
        <v>41</v>
      </c>
    </row>
    <row r="147" spans="1:25" x14ac:dyDescent="0.3">
      <c r="A147">
        <v>6007</v>
      </c>
      <c r="B147" t="s">
        <v>185</v>
      </c>
      <c r="C147" t="s">
        <v>178</v>
      </c>
      <c r="D147">
        <v>81008</v>
      </c>
      <c r="E147">
        <v>58799</v>
      </c>
      <c r="F147">
        <v>36943</v>
      </c>
      <c r="G147">
        <v>5372</v>
      </c>
      <c r="H147">
        <v>8.3713827000000005E-2</v>
      </c>
      <c r="I147">
        <v>37600</v>
      </c>
      <c r="J147">
        <v>24900</v>
      </c>
      <c r="K147">
        <v>58000</v>
      </c>
      <c r="L147">
        <v>0.72584189215879913</v>
      </c>
      <c r="M147">
        <v>0.6282929981802412</v>
      </c>
      <c r="N147">
        <v>33100</v>
      </c>
      <c r="O147">
        <v>0.584776403</v>
      </c>
      <c r="P147">
        <v>3948</v>
      </c>
      <c r="Q147">
        <v>8707</v>
      </c>
      <c r="R147">
        <v>3586</v>
      </c>
      <c r="S147">
        <v>50750</v>
      </c>
      <c r="T147">
        <v>38000</v>
      </c>
      <c r="U147">
        <v>12750</v>
      </c>
      <c r="Y147" t="s">
        <v>178</v>
      </c>
    </row>
    <row r="148" spans="1:25" x14ac:dyDescent="0.3">
      <c r="A148">
        <v>6099</v>
      </c>
      <c r="B148" t="s">
        <v>186</v>
      </c>
      <c r="C148" t="s">
        <v>178</v>
      </c>
      <c r="D148">
        <v>8511</v>
      </c>
      <c r="E148">
        <v>6431</v>
      </c>
      <c r="F148">
        <v>3802</v>
      </c>
      <c r="G148">
        <v>1190</v>
      </c>
      <c r="H148">
        <v>0.156147487</v>
      </c>
      <c r="I148">
        <v>45000</v>
      </c>
      <c r="J148">
        <v>30000</v>
      </c>
      <c r="K148">
        <v>60000</v>
      </c>
      <c r="L148">
        <v>0.75561038655857127</v>
      </c>
      <c r="M148">
        <v>0.59119888042295132</v>
      </c>
      <c r="N148">
        <v>30000</v>
      </c>
      <c r="O148">
        <v>0.41017964099999998</v>
      </c>
      <c r="P148">
        <v>693</v>
      </c>
      <c r="Q148">
        <v>1714</v>
      </c>
      <c r="R148">
        <v>755</v>
      </c>
      <c r="S148">
        <v>55000</v>
      </c>
      <c r="T148">
        <v>46000</v>
      </c>
      <c r="U148">
        <v>9000</v>
      </c>
      <c r="Y148" t="s">
        <v>178</v>
      </c>
    </row>
    <row r="149" spans="1:25" x14ac:dyDescent="0.3">
      <c r="A149">
        <v>6100</v>
      </c>
      <c r="B149" t="s">
        <v>187</v>
      </c>
      <c r="C149" t="s">
        <v>132</v>
      </c>
      <c r="D149">
        <v>104516</v>
      </c>
      <c r="E149">
        <v>78198</v>
      </c>
      <c r="F149">
        <v>53746</v>
      </c>
      <c r="G149">
        <v>4525</v>
      </c>
      <c r="H149">
        <v>5.4700627000000002E-2</v>
      </c>
      <c r="I149">
        <v>50000</v>
      </c>
      <c r="J149">
        <v>35000</v>
      </c>
      <c r="K149">
        <v>73000</v>
      </c>
      <c r="L149">
        <v>0.74819166443415364</v>
      </c>
      <c r="M149">
        <v>0.68730658073096496</v>
      </c>
      <c r="N149">
        <v>38000</v>
      </c>
      <c r="O149">
        <v>0.77457662400000005</v>
      </c>
      <c r="P149">
        <v>9364</v>
      </c>
      <c r="Q149">
        <v>12889</v>
      </c>
      <c r="R149">
        <v>3816</v>
      </c>
      <c r="S149">
        <v>70000</v>
      </c>
      <c r="T149">
        <v>52000</v>
      </c>
      <c r="U149">
        <v>18000</v>
      </c>
      <c r="V149">
        <v>33599</v>
      </c>
      <c r="W149">
        <v>7574</v>
      </c>
      <c r="X149">
        <v>26025</v>
      </c>
      <c r="Y149" t="s">
        <v>132</v>
      </c>
    </row>
    <row r="150" spans="1:25" x14ac:dyDescent="0.3">
      <c r="A150">
        <v>6102</v>
      </c>
      <c r="B150" t="s">
        <v>188</v>
      </c>
      <c r="C150" t="s">
        <v>132</v>
      </c>
      <c r="D150">
        <v>74977</v>
      </c>
      <c r="E150">
        <v>49393</v>
      </c>
      <c r="F150">
        <v>26085</v>
      </c>
      <c r="G150">
        <v>2407</v>
      </c>
      <c r="H150">
        <v>4.6467181000000003E-2</v>
      </c>
      <c r="I150">
        <v>42000</v>
      </c>
      <c r="J150">
        <v>30000</v>
      </c>
      <c r="K150">
        <v>60000</v>
      </c>
      <c r="L150">
        <v>0.65877535777638474</v>
      </c>
      <c r="M150">
        <v>0.52811127082785014</v>
      </c>
      <c r="N150">
        <v>30000</v>
      </c>
      <c r="O150">
        <v>0.70713623699999995</v>
      </c>
      <c r="P150">
        <v>19957</v>
      </c>
      <c r="Q150">
        <v>9404</v>
      </c>
      <c r="R150">
        <v>5125</v>
      </c>
      <c r="S150">
        <v>65000</v>
      </c>
      <c r="T150">
        <v>44000</v>
      </c>
      <c r="U150">
        <v>21000</v>
      </c>
      <c r="V150">
        <v>38279</v>
      </c>
      <c r="W150">
        <v>1225</v>
      </c>
      <c r="X150">
        <v>37054</v>
      </c>
      <c r="Y150" t="s">
        <v>132</v>
      </c>
    </row>
    <row r="151" spans="1:25" x14ac:dyDescent="0.3">
      <c r="A151">
        <v>6103</v>
      </c>
      <c r="B151" t="s">
        <v>189</v>
      </c>
      <c r="C151" t="s">
        <v>132</v>
      </c>
      <c r="D151">
        <v>108510</v>
      </c>
      <c r="E151">
        <v>85360</v>
      </c>
      <c r="F151">
        <v>67294</v>
      </c>
      <c r="G151">
        <v>5160</v>
      </c>
      <c r="H151">
        <v>5.7003976999999997E-2</v>
      </c>
      <c r="I151">
        <v>50000</v>
      </c>
      <c r="J151">
        <v>35000</v>
      </c>
      <c r="K151">
        <v>75000</v>
      </c>
      <c r="L151">
        <v>0.78665560777808496</v>
      </c>
      <c r="M151">
        <v>0.78835520149953142</v>
      </c>
      <c r="N151">
        <v>40000</v>
      </c>
      <c r="O151">
        <v>0.77090110599999995</v>
      </c>
      <c r="P151">
        <v>2589</v>
      </c>
      <c r="Q151">
        <v>8592</v>
      </c>
      <c r="R151">
        <v>1391</v>
      </c>
      <c r="S151">
        <v>79000</v>
      </c>
      <c r="T151">
        <v>52000</v>
      </c>
      <c r="U151">
        <v>27000</v>
      </c>
      <c r="V151">
        <v>18109</v>
      </c>
      <c r="W151">
        <v>4266</v>
      </c>
      <c r="X151">
        <v>13843</v>
      </c>
      <c r="Y151" t="s">
        <v>132</v>
      </c>
    </row>
    <row r="152" spans="1:25" x14ac:dyDescent="0.3">
      <c r="A152">
        <v>6104</v>
      </c>
      <c r="B152" t="s">
        <v>190</v>
      </c>
      <c r="C152" t="s">
        <v>132</v>
      </c>
      <c r="D152">
        <v>64316</v>
      </c>
      <c r="E152">
        <v>51279</v>
      </c>
      <c r="F152">
        <v>25118</v>
      </c>
      <c r="G152">
        <v>1660</v>
      </c>
      <c r="H152">
        <v>3.1356845000000001E-2</v>
      </c>
      <c r="I152">
        <v>55000</v>
      </c>
      <c r="J152">
        <v>37000</v>
      </c>
      <c r="K152">
        <v>75000</v>
      </c>
      <c r="L152">
        <v>0.79729771751974621</v>
      </c>
      <c r="M152">
        <v>0.48983014489362109</v>
      </c>
      <c r="N152">
        <v>38000</v>
      </c>
      <c r="O152">
        <v>0.17898193800000001</v>
      </c>
      <c r="P152">
        <v>2091</v>
      </c>
      <c r="Q152">
        <v>6948</v>
      </c>
      <c r="R152">
        <v>1270</v>
      </c>
      <c r="S152">
        <v>80000</v>
      </c>
      <c r="T152">
        <v>56000</v>
      </c>
      <c r="U152">
        <v>24000</v>
      </c>
      <c r="V152">
        <v>11123</v>
      </c>
      <c r="W152">
        <v>803</v>
      </c>
      <c r="X152">
        <v>10320</v>
      </c>
      <c r="Y152" t="s">
        <v>132</v>
      </c>
    </row>
    <row r="153" spans="1:25" x14ac:dyDescent="0.3">
      <c r="A153">
        <v>6105</v>
      </c>
      <c r="B153" t="s">
        <v>191</v>
      </c>
      <c r="C153" t="s">
        <v>132</v>
      </c>
      <c r="D153">
        <v>164990</v>
      </c>
      <c r="E153">
        <v>121479</v>
      </c>
      <c r="F153">
        <v>92128</v>
      </c>
      <c r="G153">
        <v>4564</v>
      </c>
      <c r="H153">
        <v>3.6209865000000001E-2</v>
      </c>
      <c r="I153">
        <v>60000</v>
      </c>
      <c r="J153">
        <v>45000</v>
      </c>
      <c r="K153">
        <v>76000</v>
      </c>
      <c r="L153">
        <v>0.73628098672646825</v>
      </c>
      <c r="M153">
        <v>0.75838622313321646</v>
      </c>
      <c r="N153">
        <v>31000</v>
      </c>
      <c r="O153">
        <v>0.43429844099999998</v>
      </c>
      <c r="P153">
        <v>5546</v>
      </c>
      <c r="Q153">
        <v>7176</v>
      </c>
      <c r="R153">
        <v>1002</v>
      </c>
      <c r="S153">
        <v>76000</v>
      </c>
      <c r="T153">
        <v>60000</v>
      </c>
      <c r="U153">
        <v>16000</v>
      </c>
      <c r="V153">
        <v>15914</v>
      </c>
      <c r="W153">
        <v>3916</v>
      </c>
      <c r="X153">
        <v>11998</v>
      </c>
      <c r="Y153" t="s">
        <v>132</v>
      </c>
    </row>
    <row r="154" spans="1:25" x14ac:dyDescent="0.3">
      <c r="A154">
        <v>6106</v>
      </c>
      <c r="B154" t="s">
        <v>192</v>
      </c>
      <c r="C154" t="s">
        <v>132</v>
      </c>
      <c r="D154">
        <v>32514</v>
      </c>
      <c r="E154">
        <v>19009</v>
      </c>
      <c r="F154">
        <v>13147</v>
      </c>
      <c r="G154">
        <v>1431</v>
      </c>
      <c r="H154">
        <v>7.0009785000000005E-2</v>
      </c>
      <c r="I154">
        <v>50000</v>
      </c>
      <c r="J154">
        <v>34000</v>
      </c>
      <c r="K154">
        <v>85000</v>
      </c>
      <c r="L154">
        <v>0.58464046256996982</v>
      </c>
      <c r="M154">
        <v>0.6916197590614972</v>
      </c>
      <c r="N154">
        <v>51000</v>
      </c>
      <c r="O154">
        <v>0.55660377400000005</v>
      </c>
      <c r="P154">
        <v>3051</v>
      </c>
      <c r="Q154">
        <v>3539</v>
      </c>
      <c r="R154">
        <v>1159</v>
      </c>
      <c r="S154">
        <v>135000</v>
      </c>
      <c r="T154">
        <v>51000</v>
      </c>
      <c r="U154">
        <v>84000</v>
      </c>
      <c r="V154">
        <v>12740</v>
      </c>
      <c r="W154">
        <v>5521</v>
      </c>
      <c r="X154">
        <v>7219</v>
      </c>
      <c r="Y154" t="s">
        <v>132</v>
      </c>
    </row>
    <row r="155" spans="1:25" x14ac:dyDescent="0.3">
      <c r="A155">
        <v>6107</v>
      </c>
      <c r="B155" t="s">
        <v>193</v>
      </c>
      <c r="C155" t="s">
        <v>132</v>
      </c>
      <c r="D155">
        <v>1769892</v>
      </c>
      <c r="E155">
        <v>1325711</v>
      </c>
      <c r="F155">
        <v>947546</v>
      </c>
      <c r="G155">
        <v>36503</v>
      </c>
      <c r="H155">
        <v>2.6796818E-2</v>
      </c>
      <c r="I155">
        <v>62000</v>
      </c>
      <c r="J155">
        <v>48000</v>
      </c>
      <c r="K155">
        <v>80000</v>
      </c>
      <c r="L155">
        <v>0.7490349693653624</v>
      </c>
      <c r="M155">
        <v>0.7147455214598053</v>
      </c>
      <c r="N155">
        <v>32000</v>
      </c>
      <c r="O155">
        <v>0.89601898800000002</v>
      </c>
      <c r="P155">
        <v>151643</v>
      </c>
      <c r="Q155">
        <v>26146</v>
      </c>
      <c r="R155">
        <v>6193</v>
      </c>
      <c r="S155">
        <v>84000</v>
      </c>
      <c r="T155">
        <v>64000</v>
      </c>
      <c r="U155">
        <v>20000</v>
      </c>
      <c r="V155">
        <v>209394</v>
      </c>
      <c r="W155">
        <v>21773</v>
      </c>
      <c r="X155">
        <v>187621</v>
      </c>
      <c r="Y155" t="s">
        <v>132</v>
      </c>
    </row>
    <row r="156" spans="1:25" x14ac:dyDescent="0.3">
      <c r="A156">
        <v>6108</v>
      </c>
      <c r="B156" t="s">
        <v>194</v>
      </c>
      <c r="C156" t="s">
        <v>132</v>
      </c>
      <c r="D156">
        <v>180084</v>
      </c>
      <c r="E156">
        <v>124058</v>
      </c>
      <c r="F156">
        <v>89234</v>
      </c>
      <c r="G156">
        <v>4414</v>
      </c>
      <c r="H156">
        <v>3.4357681000000001E-2</v>
      </c>
      <c r="I156">
        <v>106000</v>
      </c>
      <c r="J156">
        <v>78000</v>
      </c>
      <c r="K156">
        <v>125000</v>
      </c>
      <c r="L156">
        <v>0.6888896292841119</v>
      </c>
      <c r="M156">
        <v>0.71929258895032966</v>
      </c>
      <c r="N156">
        <v>47000</v>
      </c>
      <c r="O156">
        <v>0.45146488600000001</v>
      </c>
      <c r="P156">
        <v>11573</v>
      </c>
      <c r="Q156">
        <v>4493</v>
      </c>
      <c r="R156">
        <v>1121</v>
      </c>
      <c r="S156">
        <v>111000</v>
      </c>
      <c r="T156">
        <v>107000</v>
      </c>
      <c r="U156">
        <v>4000</v>
      </c>
      <c r="V156">
        <v>23551</v>
      </c>
      <c r="W156">
        <v>8697</v>
      </c>
      <c r="X156">
        <v>14854</v>
      </c>
      <c r="Y156" t="s">
        <v>132</v>
      </c>
    </row>
    <row r="157" spans="1:25" x14ac:dyDescent="0.3">
      <c r="A157">
        <v>6109</v>
      </c>
      <c r="B157" t="s">
        <v>195</v>
      </c>
      <c r="C157" t="s">
        <v>132</v>
      </c>
      <c r="D157">
        <v>252138</v>
      </c>
      <c r="E157">
        <v>199174</v>
      </c>
      <c r="F157">
        <v>128115</v>
      </c>
      <c r="G157">
        <v>5378</v>
      </c>
      <c r="H157">
        <v>2.6291603E-2</v>
      </c>
      <c r="I157">
        <v>61000</v>
      </c>
      <c r="J157">
        <v>40000</v>
      </c>
      <c r="K157">
        <v>80000</v>
      </c>
      <c r="L157">
        <v>0.78994042944736609</v>
      </c>
      <c r="M157">
        <v>0.64323154628616186</v>
      </c>
      <c r="N157">
        <v>40000</v>
      </c>
      <c r="O157">
        <v>0.64</v>
      </c>
      <c r="P157">
        <v>22215</v>
      </c>
      <c r="Q157">
        <v>14616</v>
      </c>
      <c r="R157">
        <v>4468</v>
      </c>
      <c r="S157">
        <v>70000</v>
      </c>
      <c r="T157">
        <v>63000</v>
      </c>
      <c r="U157">
        <v>7000</v>
      </c>
      <c r="V157">
        <v>48491</v>
      </c>
      <c r="W157">
        <v>13487</v>
      </c>
      <c r="X157">
        <v>35004</v>
      </c>
      <c r="Y157" t="s">
        <v>132</v>
      </c>
    </row>
    <row r="158" spans="1:25" x14ac:dyDescent="0.3">
      <c r="A158">
        <v>6110</v>
      </c>
      <c r="B158" t="s">
        <v>196</v>
      </c>
      <c r="C158" t="s">
        <v>132</v>
      </c>
      <c r="D158">
        <v>56741</v>
      </c>
      <c r="E158">
        <v>42543</v>
      </c>
      <c r="F158">
        <v>28912</v>
      </c>
      <c r="G158">
        <v>3032</v>
      </c>
      <c r="H158">
        <v>6.6527701999999994E-2</v>
      </c>
      <c r="I158">
        <v>47000</v>
      </c>
      <c r="J158">
        <v>32800</v>
      </c>
      <c r="K158">
        <v>70000</v>
      </c>
      <c r="L158">
        <v>0.7497752947604025</v>
      </c>
      <c r="M158">
        <v>0.67959476294572552</v>
      </c>
      <c r="N158">
        <v>37200</v>
      </c>
      <c r="O158">
        <v>0.65212981699999995</v>
      </c>
      <c r="P158">
        <v>5225</v>
      </c>
      <c r="Q158">
        <v>7385</v>
      </c>
      <c r="R158">
        <v>1854</v>
      </c>
      <c r="S158">
        <v>68500</v>
      </c>
      <c r="T158">
        <v>50000</v>
      </c>
      <c r="U158">
        <v>18500</v>
      </c>
      <c r="V158">
        <v>19735</v>
      </c>
      <c r="W158">
        <v>4103</v>
      </c>
      <c r="X158">
        <v>15632</v>
      </c>
      <c r="Y158" t="s">
        <v>132</v>
      </c>
    </row>
    <row r="159" spans="1:25" x14ac:dyDescent="0.3">
      <c r="A159">
        <v>6199</v>
      </c>
      <c r="B159" t="s">
        <v>197</v>
      </c>
      <c r="C159" t="s">
        <v>132</v>
      </c>
      <c r="D159">
        <v>77647</v>
      </c>
      <c r="E159">
        <v>52610</v>
      </c>
      <c r="F159">
        <v>35676</v>
      </c>
      <c r="G159">
        <v>2978</v>
      </c>
      <c r="H159">
        <v>5.3572714E-2</v>
      </c>
      <c r="I159">
        <v>45000</v>
      </c>
      <c r="J159">
        <v>32000</v>
      </c>
      <c r="K159">
        <v>62000</v>
      </c>
      <c r="L159">
        <v>0.67755354360116937</v>
      </c>
      <c r="M159">
        <v>0.67812203003231319</v>
      </c>
      <c r="N159">
        <v>30000</v>
      </c>
      <c r="O159">
        <v>0.70202020200000004</v>
      </c>
      <c r="P159">
        <v>5652</v>
      </c>
      <c r="Q159">
        <v>3835</v>
      </c>
      <c r="R159">
        <v>1422</v>
      </c>
      <c r="S159">
        <v>60000</v>
      </c>
      <c r="T159">
        <v>45000</v>
      </c>
      <c r="U159">
        <v>15000</v>
      </c>
      <c r="V159">
        <v>13386</v>
      </c>
      <c r="W159">
        <v>1589</v>
      </c>
      <c r="X159">
        <v>11797</v>
      </c>
      <c r="Y159" t="s">
        <v>132</v>
      </c>
    </row>
    <row r="160" spans="1:25" x14ac:dyDescent="0.3">
      <c r="A160">
        <v>6200</v>
      </c>
      <c r="B160" t="s">
        <v>198</v>
      </c>
      <c r="C160" t="s">
        <v>199</v>
      </c>
      <c r="D160">
        <v>2148712</v>
      </c>
      <c r="E160">
        <v>1580978</v>
      </c>
      <c r="F160">
        <v>1304646</v>
      </c>
      <c r="G160">
        <v>85626</v>
      </c>
      <c r="H160">
        <v>5.1377531999999997E-2</v>
      </c>
      <c r="I160">
        <v>60000</v>
      </c>
      <c r="J160">
        <v>40000</v>
      </c>
      <c r="K160">
        <v>95000</v>
      </c>
      <c r="L160">
        <v>0.7357793878379234</v>
      </c>
      <c r="M160">
        <v>0.82521451911411792</v>
      </c>
      <c r="N160">
        <v>55000</v>
      </c>
      <c r="O160">
        <v>0.41792479999999999</v>
      </c>
      <c r="P160">
        <v>29334</v>
      </c>
      <c r="Q160">
        <v>100831</v>
      </c>
      <c r="R160">
        <v>27320</v>
      </c>
      <c r="S160">
        <v>85000</v>
      </c>
      <c r="T160">
        <v>60000</v>
      </c>
      <c r="U160">
        <v>25000</v>
      </c>
      <c r="Y160" t="s">
        <v>199</v>
      </c>
    </row>
    <row r="161" spans="1:25" x14ac:dyDescent="0.3">
      <c r="A161">
        <v>6201</v>
      </c>
      <c r="B161" t="s">
        <v>200</v>
      </c>
      <c r="C161" t="s">
        <v>199</v>
      </c>
      <c r="D161">
        <v>1779219</v>
      </c>
      <c r="E161">
        <v>1335825</v>
      </c>
      <c r="F161">
        <v>1095027</v>
      </c>
      <c r="G161">
        <v>75379</v>
      </c>
      <c r="H161">
        <v>5.3414673000000003E-2</v>
      </c>
      <c r="I161">
        <v>65000</v>
      </c>
      <c r="J161">
        <v>42500</v>
      </c>
      <c r="K161">
        <v>100000</v>
      </c>
      <c r="L161">
        <v>0.7507929040775756</v>
      </c>
      <c r="M161">
        <v>0.81973836393240129</v>
      </c>
      <c r="N161">
        <v>57500</v>
      </c>
      <c r="O161">
        <v>0.25358330200000001</v>
      </c>
      <c r="P161">
        <v>11417</v>
      </c>
      <c r="Q161">
        <v>39323</v>
      </c>
      <c r="R161">
        <v>10886</v>
      </c>
      <c r="S161">
        <v>88000</v>
      </c>
      <c r="T161">
        <v>65000</v>
      </c>
      <c r="U161">
        <v>23000</v>
      </c>
      <c r="Y161" t="s">
        <v>199</v>
      </c>
    </row>
    <row r="162" spans="1:25" x14ac:dyDescent="0.3">
      <c r="A162">
        <v>6202</v>
      </c>
      <c r="B162" t="s">
        <v>201</v>
      </c>
      <c r="C162" t="s">
        <v>199</v>
      </c>
      <c r="D162">
        <v>9763</v>
      </c>
      <c r="E162">
        <v>7846</v>
      </c>
      <c r="F162">
        <v>6880</v>
      </c>
      <c r="G162">
        <v>466</v>
      </c>
      <c r="H162">
        <v>5.6063522999999997E-2</v>
      </c>
      <c r="I162">
        <v>72000</v>
      </c>
      <c r="J162">
        <v>53000</v>
      </c>
      <c r="K162">
        <v>115000</v>
      </c>
      <c r="L162">
        <v>0.80364642015773835</v>
      </c>
      <c r="M162">
        <v>0.87687993882232984</v>
      </c>
      <c r="N162">
        <v>62000</v>
      </c>
      <c r="O162">
        <v>0.53571428600000004</v>
      </c>
      <c r="P162">
        <v>1768</v>
      </c>
      <c r="Q162">
        <v>314</v>
      </c>
      <c r="R162">
        <v>259</v>
      </c>
      <c r="S162">
        <v>110000</v>
      </c>
      <c r="T162">
        <v>76000</v>
      </c>
      <c r="U162">
        <v>34000</v>
      </c>
      <c r="Y162" t="s">
        <v>199</v>
      </c>
    </row>
    <row r="163" spans="1:25" x14ac:dyDescent="0.3">
      <c r="A163">
        <v>6203</v>
      </c>
      <c r="B163" t="s">
        <v>202</v>
      </c>
      <c r="C163" t="s">
        <v>199</v>
      </c>
      <c r="D163">
        <v>3123510</v>
      </c>
      <c r="E163">
        <v>2354398</v>
      </c>
      <c r="F163">
        <v>1939384</v>
      </c>
      <c r="G163">
        <v>147261</v>
      </c>
      <c r="H163">
        <v>5.8865336999999997E-2</v>
      </c>
      <c r="I163">
        <v>58000</v>
      </c>
      <c r="J163">
        <v>39500</v>
      </c>
      <c r="K163">
        <v>86000</v>
      </c>
      <c r="L163">
        <v>0.75376675598925569</v>
      </c>
      <c r="M163">
        <v>0.8237281886919714</v>
      </c>
      <c r="N163">
        <v>46500</v>
      </c>
      <c r="O163">
        <v>0.58094800400000002</v>
      </c>
      <c r="P163">
        <v>36720</v>
      </c>
      <c r="Q163">
        <v>148395</v>
      </c>
      <c r="R163">
        <v>32395</v>
      </c>
      <c r="S163">
        <v>77000</v>
      </c>
      <c r="T163">
        <v>60000</v>
      </c>
      <c r="U163">
        <v>17000</v>
      </c>
      <c r="Y163" t="s">
        <v>199</v>
      </c>
    </row>
    <row r="164" spans="1:25" x14ac:dyDescent="0.3">
      <c r="A164">
        <v>6204</v>
      </c>
      <c r="B164" t="s">
        <v>203</v>
      </c>
      <c r="C164" t="s">
        <v>199</v>
      </c>
      <c r="D164">
        <v>57200</v>
      </c>
      <c r="E164">
        <v>47341</v>
      </c>
      <c r="F164">
        <v>41104</v>
      </c>
      <c r="G164">
        <v>2141</v>
      </c>
      <c r="H164">
        <v>4.3268259000000003E-2</v>
      </c>
      <c r="I164">
        <v>65000</v>
      </c>
      <c r="J164">
        <v>45000</v>
      </c>
      <c r="K164">
        <v>90000</v>
      </c>
      <c r="L164">
        <v>0.82763986013986013</v>
      </c>
      <c r="M164">
        <v>0.86825373355019964</v>
      </c>
      <c r="N164">
        <v>45000</v>
      </c>
      <c r="O164">
        <v>0.322222222</v>
      </c>
      <c r="P164">
        <v>1466</v>
      </c>
      <c r="Q164">
        <v>3629</v>
      </c>
      <c r="R164">
        <v>285</v>
      </c>
      <c r="S164">
        <v>94000</v>
      </c>
      <c r="T164">
        <v>66000</v>
      </c>
      <c r="U164">
        <v>28000</v>
      </c>
      <c r="Y164" t="s">
        <v>199</v>
      </c>
    </row>
    <row r="165" spans="1:25" x14ac:dyDescent="0.3">
      <c r="A165">
        <v>6205</v>
      </c>
      <c r="B165" t="s">
        <v>204</v>
      </c>
      <c r="C165" t="s">
        <v>199</v>
      </c>
      <c r="D165">
        <v>75547</v>
      </c>
      <c r="E165">
        <v>57983</v>
      </c>
      <c r="F165">
        <v>48471</v>
      </c>
      <c r="G165">
        <v>3816</v>
      </c>
      <c r="H165">
        <v>6.1748572000000002E-2</v>
      </c>
      <c r="I165">
        <v>65000</v>
      </c>
      <c r="J165">
        <v>45000</v>
      </c>
      <c r="K165">
        <v>100000</v>
      </c>
      <c r="L165">
        <v>0.76750896792725054</v>
      </c>
      <c r="M165">
        <v>0.83595191694117243</v>
      </c>
      <c r="N165">
        <v>55000</v>
      </c>
      <c r="O165">
        <v>0.24919024000000001</v>
      </c>
      <c r="P165">
        <v>1578</v>
      </c>
      <c r="Q165">
        <v>4612</v>
      </c>
      <c r="R165">
        <v>1284</v>
      </c>
      <c r="S165">
        <v>94000</v>
      </c>
      <c r="T165">
        <v>70000</v>
      </c>
      <c r="U165">
        <v>24000</v>
      </c>
      <c r="Y165" t="s">
        <v>199</v>
      </c>
    </row>
    <row r="166" spans="1:25" x14ac:dyDescent="0.3">
      <c r="A166">
        <v>6206</v>
      </c>
      <c r="B166" t="s">
        <v>205</v>
      </c>
      <c r="C166" t="s">
        <v>199</v>
      </c>
      <c r="D166">
        <v>1114624</v>
      </c>
      <c r="E166">
        <v>890125</v>
      </c>
      <c r="F166">
        <v>704912</v>
      </c>
      <c r="G166">
        <v>51839</v>
      </c>
      <c r="H166">
        <v>5.5032889000000002E-2</v>
      </c>
      <c r="I166">
        <v>56000</v>
      </c>
      <c r="J166">
        <v>38500</v>
      </c>
      <c r="K166">
        <v>90000</v>
      </c>
      <c r="L166">
        <v>0.79858768517455214</v>
      </c>
      <c r="M166">
        <v>0.79192472967279881</v>
      </c>
      <c r="N166">
        <v>51500</v>
      </c>
      <c r="O166">
        <v>0.38290043299999998</v>
      </c>
      <c r="P166">
        <v>25320</v>
      </c>
      <c r="Q166">
        <v>93889</v>
      </c>
      <c r="R166">
        <v>27968</v>
      </c>
      <c r="S166">
        <v>80000</v>
      </c>
      <c r="T166">
        <v>60000</v>
      </c>
      <c r="U166">
        <v>20000</v>
      </c>
      <c r="Y166" t="s">
        <v>199</v>
      </c>
    </row>
    <row r="167" spans="1:25" x14ac:dyDescent="0.3">
      <c r="A167">
        <v>6207</v>
      </c>
      <c r="B167" t="s">
        <v>206</v>
      </c>
      <c r="C167" t="s">
        <v>199</v>
      </c>
      <c r="D167">
        <v>816548</v>
      </c>
      <c r="E167">
        <v>670681</v>
      </c>
      <c r="F167">
        <v>561073</v>
      </c>
      <c r="G167">
        <v>34166</v>
      </c>
      <c r="H167">
        <v>4.8472930999999997E-2</v>
      </c>
      <c r="I167">
        <v>65000</v>
      </c>
      <c r="J167">
        <v>45000</v>
      </c>
      <c r="K167">
        <v>100000</v>
      </c>
      <c r="L167">
        <v>0.82136138965498662</v>
      </c>
      <c r="M167">
        <v>0.8365720812129761</v>
      </c>
      <c r="N167">
        <v>55000</v>
      </c>
      <c r="O167">
        <v>0.35546905899999998</v>
      </c>
      <c r="P167">
        <v>24243</v>
      </c>
      <c r="Q167">
        <v>48447</v>
      </c>
      <c r="R167">
        <v>9910</v>
      </c>
      <c r="S167">
        <v>95000</v>
      </c>
      <c r="T167">
        <v>70000</v>
      </c>
      <c r="U167">
        <v>25000</v>
      </c>
      <c r="Y167" t="s">
        <v>199</v>
      </c>
    </row>
    <row r="168" spans="1:25" x14ac:dyDescent="0.3">
      <c r="A168">
        <v>6209</v>
      </c>
      <c r="B168" t="s">
        <v>207</v>
      </c>
      <c r="C168" t="s">
        <v>199</v>
      </c>
      <c r="D168">
        <v>187274</v>
      </c>
      <c r="E168">
        <v>142879</v>
      </c>
      <c r="F168">
        <v>116466</v>
      </c>
      <c r="G168">
        <v>9241</v>
      </c>
      <c r="H168">
        <v>6.0748094000000002E-2</v>
      </c>
      <c r="I168">
        <v>54000</v>
      </c>
      <c r="J168">
        <v>38000</v>
      </c>
      <c r="K168">
        <v>80000</v>
      </c>
      <c r="L168">
        <v>0.76294093146939779</v>
      </c>
      <c r="M168">
        <v>0.81513728399554863</v>
      </c>
      <c r="N168">
        <v>42000</v>
      </c>
      <c r="O168">
        <v>0.67216144300000003</v>
      </c>
      <c r="P168">
        <v>2406</v>
      </c>
      <c r="Q168">
        <v>9629</v>
      </c>
      <c r="R168">
        <v>1906</v>
      </c>
      <c r="S168">
        <v>70000</v>
      </c>
      <c r="T168">
        <v>55000</v>
      </c>
      <c r="U168">
        <v>15000</v>
      </c>
      <c r="Y168" t="s">
        <v>199</v>
      </c>
    </row>
    <row r="169" spans="1:25" x14ac:dyDescent="0.3">
      <c r="A169">
        <v>6210</v>
      </c>
      <c r="B169" t="s">
        <v>208</v>
      </c>
      <c r="C169" t="s">
        <v>199</v>
      </c>
      <c r="D169">
        <v>86064</v>
      </c>
      <c r="E169">
        <v>66453</v>
      </c>
      <c r="F169">
        <v>51012</v>
      </c>
      <c r="G169">
        <v>5106</v>
      </c>
      <c r="H169">
        <v>7.1353708000000002E-2</v>
      </c>
      <c r="I169">
        <v>54000</v>
      </c>
      <c r="J169">
        <v>38600</v>
      </c>
      <c r="K169">
        <v>80000</v>
      </c>
      <c r="L169">
        <v>0.77213469046291128</v>
      </c>
      <c r="M169">
        <v>0.76764028712022025</v>
      </c>
      <c r="N169">
        <v>41400</v>
      </c>
      <c r="O169">
        <v>0.28290282900000002</v>
      </c>
      <c r="P169">
        <v>3383</v>
      </c>
      <c r="Q169">
        <v>9482</v>
      </c>
      <c r="R169">
        <v>3046</v>
      </c>
      <c r="S169">
        <v>72000</v>
      </c>
      <c r="T169">
        <v>57000</v>
      </c>
      <c r="U169">
        <v>15000</v>
      </c>
      <c r="Y169" t="s">
        <v>199</v>
      </c>
    </row>
    <row r="170" spans="1:25" x14ac:dyDescent="0.3">
      <c r="A170">
        <v>6211</v>
      </c>
      <c r="B170" t="s">
        <v>209</v>
      </c>
      <c r="C170" t="s">
        <v>199</v>
      </c>
      <c r="D170">
        <v>200854</v>
      </c>
      <c r="E170">
        <v>163393</v>
      </c>
      <c r="F170">
        <v>122499</v>
      </c>
      <c r="G170">
        <v>8862</v>
      </c>
      <c r="H170">
        <v>5.1446983000000002E-2</v>
      </c>
      <c r="I170">
        <v>49000</v>
      </c>
      <c r="J170">
        <v>33000</v>
      </c>
      <c r="K170">
        <v>70000</v>
      </c>
      <c r="L170">
        <v>0.81349139175719676</v>
      </c>
      <c r="M170">
        <v>0.74972000024480856</v>
      </c>
      <c r="N170">
        <v>37000</v>
      </c>
      <c r="O170">
        <v>0.73399192800000002</v>
      </c>
      <c r="P170">
        <v>2325</v>
      </c>
      <c r="Q170">
        <v>23341</v>
      </c>
      <c r="R170">
        <v>9063</v>
      </c>
      <c r="S170">
        <v>65000</v>
      </c>
      <c r="T170">
        <v>50000</v>
      </c>
      <c r="U170">
        <v>15000</v>
      </c>
      <c r="Y170" t="s">
        <v>199</v>
      </c>
    </row>
    <row r="171" spans="1:25" x14ac:dyDescent="0.3">
      <c r="A171">
        <v>6212</v>
      </c>
      <c r="B171" t="s">
        <v>210</v>
      </c>
      <c r="C171" t="s">
        <v>199</v>
      </c>
      <c r="D171">
        <v>156673</v>
      </c>
      <c r="E171">
        <v>134478</v>
      </c>
      <c r="F171">
        <v>118249</v>
      </c>
      <c r="G171">
        <v>6186</v>
      </c>
      <c r="H171">
        <v>4.3977136999999999E-2</v>
      </c>
      <c r="I171">
        <v>72000</v>
      </c>
      <c r="J171">
        <v>50000</v>
      </c>
      <c r="K171">
        <v>100000</v>
      </c>
      <c r="L171">
        <v>0.85833551409623865</v>
      </c>
      <c r="M171">
        <v>0.87931855024613692</v>
      </c>
      <c r="N171">
        <v>50000</v>
      </c>
      <c r="O171">
        <v>0.27879014600000002</v>
      </c>
      <c r="P171">
        <v>6342</v>
      </c>
      <c r="Q171">
        <v>5741</v>
      </c>
      <c r="R171">
        <v>708</v>
      </c>
      <c r="S171">
        <v>89000</v>
      </c>
      <c r="T171">
        <v>72000</v>
      </c>
      <c r="U171">
        <v>17000</v>
      </c>
      <c r="Y171" t="s">
        <v>199</v>
      </c>
    </row>
    <row r="172" spans="1:25" x14ac:dyDescent="0.3">
      <c r="A172">
        <v>6299</v>
      </c>
      <c r="B172" t="s">
        <v>211</v>
      </c>
      <c r="C172" t="s">
        <v>199</v>
      </c>
      <c r="D172">
        <v>102753</v>
      </c>
      <c r="E172">
        <v>77471</v>
      </c>
      <c r="F172">
        <v>61603</v>
      </c>
      <c r="G172">
        <v>4308</v>
      </c>
      <c r="H172">
        <v>5.2678560999999999E-2</v>
      </c>
      <c r="I172">
        <v>53000</v>
      </c>
      <c r="J172">
        <v>36000</v>
      </c>
      <c r="K172">
        <v>83000</v>
      </c>
      <c r="L172">
        <v>0.75395365585433027</v>
      </c>
      <c r="M172">
        <v>0.79517496869796445</v>
      </c>
      <c r="N172">
        <v>47000</v>
      </c>
      <c r="O172">
        <v>0.20002271699999999</v>
      </c>
      <c r="P172">
        <v>2236</v>
      </c>
      <c r="Q172">
        <v>8937</v>
      </c>
      <c r="R172">
        <v>1758</v>
      </c>
      <c r="S172">
        <v>75000</v>
      </c>
      <c r="T172">
        <v>55000</v>
      </c>
      <c r="U172">
        <v>20000</v>
      </c>
      <c r="Y172" t="s">
        <v>199</v>
      </c>
    </row>
    <row r="173" spans="1:25" x14ac:dyDescent="0.3">
      <c r="A173">
        <v>6402</v>
      </c>
      <c r="B173" t="s">
        <v>212</v>
      </c>
      <c r="C173" t="s">
        <v>41</v>
      </c>
      <c r="D173">
        <v>712509</v>
      </c>
      <c r="E173">
        <v>478416</v>
      </c>
      <c r="F173">
        <v>354163</v>
      </c>
      <c r="G173">
        <v>33725</v>
      </c>
      <c r="H173">
        <v>6.5851006000000004E-2</v>
      </c>
      <c r="I173">
        <v>50000</v>
      </c>
      <c r="J173">
        <v>35000</v>
      </c>
      <c r="K173">
        <v>80000</v>
      </c>
      <c r="L173">
        <v>0.67145257112541734</v>
      </c>
      <c r="M173">
        <v>0.74028251563492864</v>
      </c>
      <c r="N173">
        <v>45000</v>
      </c>
      <c r="O173">
        <v>0.65174129400000003</v>
      </c>
      <c r="P173">
        <v>35336</v>
      </c>
      <c r="Q173">
        <v>54569</v>
      </c>
      <c r="R173">
        <v>16839</v>
      </c>
      <c r="S173">
        <v>80000</v>
      </c>
      <c r="T173">
        <v>52000</v>
      </c>
      <c r="U173">
        <v>28000</v>
      </c>
      <c r="Y173" t="s">
        <v>41</v>
      </c>
    </row>
    <row r="174" spans="1:25" x14ac:dyDescent="0.3">
      <c r="A174">
        <v>6403</v>
      </c>
      <c r="B174" t="s">
        <v>213</v>
      </c>
      <c r="C174" t="s">
        <v>41</v>
      </c>
      <c r="D174">
        <v>17746</v>
      </c>
      <c r="E174">
        <v>11887</v>
      </c>
      <c r="F174">
        <v>8204</v>
      </c>
      <c r="G174">
        <v>943</v>
      </c>
      <c r="H174">
        <v>7.3499610000000007E-2</v>
      </c>
      <c r="I174">
        <v>50000</v>
      </c>
      <c r="J174">
        <v>39000</v>
      </c>
      <c r="K174">
        <v>81000</v>
      </c>
      <c r="L174">
        <v>0.66984109095007327</v>
      </c>
      <c r="M174">
        <v>0.69016572726507952</v>
      </c>
      <c r="N174">
        <v>42000</v>
      </c>
      <c r="O174">
        <v>0.63071631800000005</v>
      </c>
      <c r="P174">
        <v>801</v>
      </c>
      <c r="Q174">
        <v>1591</v>
      </c>
      <c r="R174">
        <v>302</v>
      </c>
      <c r="S174">
        <v>82000</v>
      </c>
      <c r="T174">
        <v>52000</v>
      </c>
      <c r="U174">
        <v>30000</v>
      </c>
      <c r="Y174"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B7561-5A91-4F70-97C4-EBD2DBA55253}">
  <dimension ref="A1:ES387"/>
  <sheetViews>
    <sheetView topLeftCell="EQ1" zoomScale="55" zoomScaleNormal="55" workbookViewId="0">
      <selection activeCell="ES15" sqref="ES15"/>
    </sheetView>
  </sheetViews>
  <sheetFormatPr defaultRowHeight="14.4" x14ac:dyDescent="0.3"/>
  <cols>
    <col min="1" max="1" width="80.88671875" bestFit="1" customWidth="1"/>
    <col min="2" max="2" width="22.88671875" bestFit="1" customWidth="1"/>
    <col min="4" max="4" width="80.88671875" bestFit="1" customWidth="1"/>
    <col min="5" max="5" width="22.88671875" bestFit="1" customWidth="1"/>
    <col min="7" max="7" width="80.88671875" bestFit="1" customWidth="1"/>
    <col min="8" max="8" width="22.88671875" bestFit="1" customWidth="1"/>
    <col min="9" max="9" width="37.6640625" bestFit="1" customWidth="1"/>
    <col min="10" max="10" width="61.109375" bestFit="1" customWidth="1"/>
    <col min="11" max="11" width="32.44140625" bestFit="1" customWidth="1"/>
    <col min="12" max="12" width="37.6640625" bestFit="1" customWidth="1"/>
    <col min="13" max="13" width="34.6640625" bestFit="1" customWidth="1"/>
    <col min="14" max="14" width="37.6640625" bestFit="1" customWidth="1"/>
    <col min="15" max="15" width="22.88671875" bestFit="1" customWidth="1"/>
    <col min="17" max="17" width="80.88671875" bestFit="1" customWidth="1"/>
    <col min="18" max="18" width="34.44140625" bestFit="1" customWidth="1"/>
    <col min="19" max="19" width="17.21875" bestFit="1" customWidth="1"/>
    <col min="20" max="20" width="80.88671875" bestFit="1" customWidth="1"/>
    <col min="21" max="21" width="29.77734375" bestFit="1" customWidth="1"/>
    <col min="23" max="23" width="80.88671875" bestFit="1" customWidth="1"/>
    <col min="24" max="24" width="29.77734375" bestFit="1" customWidth="1"/>
    <col min="25" max="25" width="22.88671875" bestFit="1" customWidth="1"/>
    <col min="27" max="27" width="80.88671875" bestFit="1" customWidth="1"/>
    <col min="28" max="28" width="29.77734375" bestFit="1" customWidth="1"/>
    <col min="29" max="29" width="19.109375" bestFit="1" customWidth="1"/>
    <col min="30" max="30" width="80.88671875" bestFit="1" customWidth="1"/>
    <col min="31" max="31" width="38.44140625" bestFit="1" customWidth="1"/>
    <col min="32" max="32" width="17.44140625" bestFit="1" customWidth="1"/>
    <col min="33" max="33" width="27.5546875" bestFit="1" customWidth="1"/>
    <col min="34" max="34" width="17.44140625" bestFit="1" customWidth="1"/>
    <col min="35" max="35" width="35.6640625" bestFit="1" customWidth="1"/>
    <col min="36" max="36" width="31.44140625" bestFit="1" customWidth="1"/>
    <col min="37" max="37" width="15.88671875" bestFit="1" customWidth="1"/>
    <col min="38" max="39" width="17.44140625" bestFit="1" customWidth="1"/>
    <col min="40" max="40" width="30.21875" bestFit="1" customWidth="1"/>
    <col min="41" max="41" width="42.5546875" bestFit="1" customWidth="1"/>
    <col min="42" max="42" width="19.6640625" bestFit="1" customWidth="1"/>
    <col min="43" max="43" width="24" bestFit="1" customWidth="1"/>
    <col min="44" max="44" width="22.77734375" bestFit="1" customWidth="1"/>
    <col min="45" max="45" width="31.44140625" bestFit="1" customWidth="1"/>
    <col min="46" max="46" width="18.88671875" bestFit="1" customWidth="1"/>
    <col min="47" max="47" width="38.44140625" bestFit="1" customWidth="1"/>
    <col min="48" max="48" width="11.6640625" bestFit="1" customWidth="1"/>
    <col min="49" max="49" width="27.5546875" bestFit="1" customWidth="1"/>
    <col min="50" max="50" width="17.44140625" bestFit="1" customWidth="1"/>
    <col min="51" max="51" width="35.6640625" bestFit="1" customWidth="1"/>
    <col min="52" max="52" width="31.44140625" bestFit="1" customWidth="1"/>
    <col min="53" max="53" width="14.44140625" bestFit="1" customWidth="1"/>
    <col min="54" max="55" width="17.44140625" bestFit="1" customWidth="1"/>
    <col min="56" max="56" width="30.21875" bestFit="1" customWidth="1"/>
    <col min="57" max="57" width="42.5546875" bestFit="1" customWidth="1"/>
    <col min="58" max="58" width="19.6640625" bestFit="1" customWidth="1"/>
    <col min="59" max="59" width="24" bestFit="1" customWidth="1"/>
    <col min="60" max="60" width="22.77734375" bestFit="1" customWidth="1"/>
    <col min="61" max="61" width="31.44140625" bestFit="1" customWidth="1"/>
    <col min="62" max="62" width="18.88671875" bestFit="1" customWidth="1"/>
    <col min="63" max="63" width="38.44140625" bestFit="1" customWidth="1"/>
    <col min="64" max="64" width="17.44140625" bestFit="1" customWidth="1"/>
    <col min="65" max="65" width="27.5546875" bestFit="1" customWidth="1"/>
    <col min="66" max="66" width="17.44140625" bestFit="1" customWidth="1"/>
    <col min="67" max="67" width="35.6640625" bestFit="1" customWidth="1"/>
    <col min="68" max="68" width="31.44140625" bestFit="1" customWidth="1"/>
    <col min="69" max="71" width="17.44140625" bestFit="1" customWidth="1"/>
    <col min="72" max="72" width="30.21875" bestFit="1" customWidth="1"/>
    <col min="73" max="73" width="42.5546875" bestFit="1" customWidth="1"/>
    <col min="74" max="74" width="19.6640625" bestFit="1" customWidth="1"/>
    <col min="75" max="75" width="24" bestFit="1" customWidth="1"/>
    <col min="76" max="76" width="22.77734375" bestFit="1" customWidth="1"/>
    <col min="77" max="77" width="31.44140625" bestFit="1" customWidth="1"/>
    <col min="78" max="78" width="18.88671875" bestFit="1" customWidth="1"/>
    <col min="79" max="79" width="38.44140625" bestFit="1" customWidth="1"/>
    <col min="80" max="80" width="17.44140625" bestFit="1" customWidth="1"/>
    <col min="81" max="81" width="27.5546875" bestFit="1" customWidth="1"/>
    <col min="82" max="82" width="17.44140625" bestFit="1" customWidth="1"/>
    <col min="83" max="83" width="35.6640625" bestFit="1" customWidth="1"/>
    <col min="84" max="84" width="31.44140625" bestFit="1" customWidth="1"/>
    <col min="85" max="87" width="17.44140625" bestFit="1" customWidth="1"/>
    <col min="88" max="88" width="30.21875" bestFit="1" customWidth="1"/>
    <col min="89" max="89" width="42.5546875" bestFit="1" customWidth="1"/>
    <col min="90" max="90" width="19.6640625" bestFit="1" customWidth="1"/>
    <col min="91" max="91" width="24" bestFit="1" customWidth="1"/>
    <col min="92" max="92" width="22.77734375" bestFit="1" customWidth="1"/>
    <col min="93" max="93" width="31.44140625" bestFit="1" customWidth="1"/>
    <col min="94" max="94" width="18.88671875" bestFit="1" customWidth="1"/>
    <col min="95" max="95" width="38.44140625" bestFit="1" customWidth="1"/>
    <col min="96" max="96" width="13" bestFit="1" customWidth="1"/>
    <col min="97" max="97" width="27.5546875" bestFit="1" customWidth="1"/>
    <col min="98" max="98" width="17.44140625" bestFit="1" customWidth="1"/>
    <col min="99" max="99" width="35.6640625" bestFit="1" customWidth="1"/>
    <col min="100" max="100" width="31.44140625" bestFit="1" customWidth="1"/>
    <col min="101" max="101" width="13" bestFit="1" customWidth="1"/>
    <col min="102" max="102" width="15.109375" bestFit="1" customWidth="1"/>
    <col min="103" max="103" width="17.44140625" bestFit="1" customWidth="1"/>
    <col min="104" max="104" width="30.21875" bestFit="1" customWidth="1"/>
    <col min="105" max="105" width="42.5546875" bestFit="1" customWidth="1"/>
    <col min="106" max="106" width="19.6640625" bestFit="1" customWidth="1"/>
    <col min="107" max="107" width="24" bestFit="1" customWidth="1"/>
    <col min="108" max="108" width="22.77734375" bestFit="1" customWidth="1"/>
    <col min="109" max="109" width="31.44140625" bestFit="1" customWidth="1"/>
    <col min="110" max="110" width="18.88671875" bestFit="1" customWidth="1"/>
    <col min="111" max="111" width="38.44140625" bestFit="1" customWidth="1"/>
    <col min="112" max="112" width="8.77734375" bestFit="1" customWidth="1"/>
    <col min="113" max="113" width="27.5546875" bestFit="1" customWidth="1"/>
    <col min="114" max="114" width="17.44140625" bestFit="1" customWidth="1"/>
    <col min="115" max="115" width="35.6640625" bestFit="1" customWidth="1"/>
    <col min="116" max="116" width="31.44140625" bestFit="1" customWidth="1"/>
    <col min="117" max="117" width="13" bestFit="1" customWidth="1"/>
    <col min="118" max="119" width="17.44140625" bestFit="1" customWidth="1"/>
    <col min="120" max="120" width="30.21875" bestFit="1" customWidth="1"/>
    <col min="121" max="121" width="42.5546875" bestFit="1" customWidth="1"/>
    <col min="122" max="122" width="19.6640625" bestFit="1" customWidth="1"/>
    <col min="123" max="123" width="24" bestFit="1" customWidth="1"/>
    <col min="124" max="124" width="22.77734375" bestFit="1" customWidth="1"/>
    <col min="125" max="125" width="31.44140625" bestFit="1" customWidth="1"/>
    <col min="126" max="126" width="18.88671875" bestFit="1" customWidth="1"/>
    <col min="127" max="127" width="38.44140625" bestFit="1" customWidth="1"/>
    <col min="128" max="128" width="17.44140625" bestFit="1" customWidth="1"/>
    <col min="129" max="129" width="27.5546875" bestFit="1" customWidth="1"/>
    <col min="130" max="130" width="17.44140625" bestFit="1" customWidth="1"/>
    <col min="131" max="131" width="35.6640625" bestFit="1" customWidth="1"/>
    <col min="132" max="132" width="31.44140625" bestFit="1" customWidth="1"/>
    <col min="133" max="135" width="17.44140625" bestFit="1" customWidth="1"/>
    <col min="136" max="136" width="30.21875" bestFit="1" customWidth="1"/>
    <col min="137" max="137" width="42.5546875" bestFit="1" customWidth="1"/>
    <col min="138" max="138" width="19.6640625" bestFit="1" customWidth="1"/>
    <col min="139" max="139" width="24" bestFit="1" customWidth="1"/>
    <col min="140" max="140" width="22.77734375" bestFit="1" customWidth="1"/>
    <col min="141" max="141" width="31.44140625" bestFit="1" customWidth="1"/>
    <col min="142" max="142" width="18.88671875" bestFit="1" customWidth="1"/>
    <col min="143" max="143" width="38.88671875" bestFit="1" customWidth="1"/>
    <col min="144" max="144" width="37.44140625" bestFit="1" customWidth="1"/>
    <col min="145" max="145" width="36.44140625" bestFit="1" customWidth="1"/>
    <col min="146" max="146" width="40.88671875" bestFit="1" customWidth="1"/>
    <col min="147" max="147" width="39.109375" bestFit="1" customWidth="1"/>
    <col min="148" max="148" width="29.44140625" bestFit="1" customWidth="1"/>
    <col min="149" max="149" width="44.109375" bestFit="1" customWidth="1"/>
    <col min="150" max="150" width="12" bestFit="1" customWidth="1"/>
    <col min="151" max="151" width="19.5546875" bestFit="1" customWidth="1"/>
    <col min="152" max="152" width="12" bestFit="1" customWidth="1"/>
    <col min="153" max="153" width="27" bestFit="1" customWidth="1"/>
    <col min="154" max="154" width="23.88671875" bestFit="1" customWidth="1"/>
    <col min="155" max="155" width="12" bestFit="1" customWidth="1"/>
    <col min="156" max="156" width="22.44140625" bestFit="1" customWidth="1"/>
    <col min="157" max="157" width="17.44140625" bestFit="1" customWidth="1"/>
    <col min="158" max="158" width="12" bestFit="1" customWidth="1"/>
    <col min="159" max="159" width="28.109375" bestFit="1" customWidth="1"/>
    <col min="160" max="162" width="12" bestFit="1" customWidth="1"/>
    <col min="163" max="163" width="19.5546875" bestFit="1" customWidth="1"/>
    <col min="164" max="166" width="12" bestFit="1" customWidth="1"/>
    <col min="167" max="167" width="15.44140625" bestFit="1" customWidth="1"/>
    <col min="168" max="170" width="12" bestFit="1" customWidth="1"/>
    <col min="171" max="171" width="28.109375" bestFit="1" customWidth="1"/>
    <col min="172" max="172" width="12" bestFit="1" customWidth="1"/>
    <col min="173" max="173" width="23.88671875" bestFit="1" customWidth="1"/>
    <col min="174" max="174" width="12" bestFit="1" customWidth="1"/>
    <col min="175" max="175" width="19.5546875" bestFit="1" customWidth="1"/>
    <col min="176" max="176" width="12.6640625" bestFit="1" customWidth="1"/>
    <col min="177" max="177" width="12" bestFit="1" customWidth="1"/>
    <col min="178" max="178" width="11" bestFit="1" customWidth="1"/>
    <col min="179" max="179" width="12" bestFit="1" customWidth="1"/>
    <col min="180" max="180" width="31.33203125" bestFit="1" customWidth="1"/>
    <col min="181" max="181" width="15.44140625" bestFit="1" customWidth="1"/>
    <col min="182" max="182" width="12" bestFit="1" customWidth="1"/>
    <col min="183" max="183" width="31.33203125" bestFit="1" customWidth="1"/>
    <col min="184" max="184" width="12" bestFit="1" customWidth="1"/>
    <col min="185" max="185" width="19.5546875" bestFit="1" customWidth="1"/>
    <col min="186" max="187" width="12" bestFit="1" customWidth="1"/>
    <col min="188" max="188" width="15.44140625" bestFit="1" customWidth="1"/>
    <col min="189" max="189" width="12" bestFit="1" customWidth="1"/>
    <col min="190" max="190" width="15.44140625" bestFit="1" customWidth="1"/>
    <col min="191" max="191" width="11" bestFit="1" customWidth="1"/>
    <col min="192" max="192" width="28.109375" bestFit="1" customWidth="1"/>
    <col min="193" max="193" width="11" bestFit="1" customWidth="1"/>
    <col min="194" max="195" width="12" bestFit="1" customWidth="1"/>
    <col min="196" max="196" width="17.44140625" bestFit="1" customWidth="1"/>
    <col min="197" max="197" width="12.6640625" bestFit="1" customWidth="1"/>
    <col min="198" max="202" width="12" bestFit="1" customWidth="1"/>
    <col min="203" max="203" width="23.88671875" bestFit="1" customWidth="1"/>
    <col min="204" max="207" width="12" bestFit="1" customWidth="1"/>
    <col min="208" max="208" width="31.33203125" bestFit="1" customWidth="1"/>
    <col min="209" max="215" width="12" bestFit="1" customWidth="1"/>
    <col min="216" max="216" width="28.109375" bestFit="1" customWidth="1"/>
    <col min="217" max="217" width="23.88671875" bestFit="1" customWidth="1"/>
    <col min="218" max="218" width="12" bestFit="1" customWidth="1"/>
    <col min="219" max="219" width="15.44140625" bestFit="1" customWidth="1"/>
    <col min="220" max="220" width="12" bestFit="1" customWidth="1"/>
    <col min="221" max="221" width="23.88671875" bestFit="1" customWidth="1"/>
    <col min="222" max="222" width="12" bestFit="1" customWidth="1"/>
    <col min="223" max="224" width="11" bestFit="1" customWidth="1"/>
    <col min="225" max="225" width="19.5546875" bestFit="1" customWidth="1"/>
    <col min="226" max="228" width="12" bestFit="1" customWidth="1"/>
    <col min="229" max="230" width="11" bestFit="1" customWidth="1"/>
    <col min="231" max="232" width="12" bestFit="1" customWidth="1"/>
    <col min="233" max="233" width="15.44140625" bestFit="1" customWidth="1"/>
    <col min="234" max="234" width="12" bestFit="1" customWidth="1"/>
    <col min="235" max="235" width="12.6640625" bestFit="1" customWidth="1"/>
    <col min="236" max="236" width="12" bestFit="1" customWidth="1"/>
    <col min="237" max="237" width="19.5546875" bestFit="1" customWidth="1"/>
    <col min="238" max="238" width="12" bestFit="1" customWidth="1"/>
    <col min="239" max="239" width="15.44140625" bestFit="1" customWidth="1"/>
    <col min="240" max="242" width="12" bestFit="1" customWidth="1"/>
    <col min="243" max="243" width="23.88671875" bestFit="1" customWidth="1"/>
    <col min="244" max="246" width="12" bestFit="1" customWidth="1"/>
    <col min="247" max="247" width="22.33203125" bestFit="1" customWidth="1"/>
    <col min="248" max="248" width="11" bestFit="1" customWidth="1"/>
    <col min="249" max="256" width="12" bestFit="1" customWidth="1"/>
    <col min="257" max="257" width="14.5546875" bestFit="1" customWidth="1"/>
    <col min="258" max="258" width="23.109375" bestFit="1" customWidth="1"/>
    <col min="259" max="259" width="12" bestFit="1" customWidth="1"/>
    <col min="260" max="260" width="19.5546875" bestFit="1" customWidth="1"/>
    <col min="261" max="261" width="10" bestFit="1" customWidth="1"/>
    <col min="262" max="263" width="12" bestFit="1" customWidth="1"/>
    <col min="264" max="264" width="23.109375" bestFit="1" customWidth="1"/>
    <col min="265" max="269" width="12" bestFit="1" customWidth="1"/>
    <col min="270" max="270" width="22.44140625" bestFit="1" customWidth="1"/>
    <col min="271" max="273" width="12" bestFit="1" customWidth="1"/>
    <col min="274" max="274" width="31.33203125" bestFit="1" customWidth="1"/>
    <col min="275" max="287" width="12" bestFit="1" customWidth="1"/>
    <col min="288" max="288" width="31.33203125" bestFit="1" customWidth="1"/>
    <col min="289" max="289" width="12" bestFit="1" customWidth="1"/>
    <col min="290" max="290" width="12.6640625" bestFit="1" customWidth="1"/>
    <col min="291" max="293" width="12" bestFit="1" customWidth="1"/>
    <col min="294" max="294" width="11" bestFit="1" customWidth="1"/>
    <col min="295" max="295" width="15.44140625" bestFit="1" customWidth="1"/>
    <col min="296" max="296" width="23.109375" bestFit="1" customWidth="1"/>
    <col min="297" max="299" width="12" bestFit="1" customWidth="1"/>
    <col min="300" max="300" width="22.44140625" bestFit="1" customWidth="1"/>
    <col min="301" max="301" width="12" bestFit="1" customWidth="1"/>
    <col min="302" max="302" width="23.109375" bestFit="1" customWidth="1"/>
    <col min="303" max="303" width="12" bestFit="1" customWidth="1"/>
    <col min="304" max="304" width="17.44140625" bestFit="1" customWidth="1"/>
    <col min="305" max="305" width="12" bestFit="1" customWidth="1"/>
    <col min="306" max="306" width="22.44140625" bestFit="1" customWidth="1"/>
    <col min="307" max="308" width="12" bestFit="1" customWidth="1"/>
    <col min="309" max="309" width="19.5546875" bestFit="1" customWidth="1"/>
    <col min="310" max="310" width="12" bestFit="1" customWidth="1"/>
    <col min="311" max="311" width="23.109375" bestFit="1" customWidth="1"/>
    <col min="312" max="312" width="12.6640625" bestFit="1" customWidth="1"/>
    <col min="313" max="315" width="12" bestFit="1" customWidth="1"/>
    <col min="316" max="316" width="28.109375" bestFit="1" customWidth="1"/>
    <col min="317" max="318" width="12" bestFit="1" customWidth="1"/>
    <col min="319" max="319" width="27" bestFit="1" customWidth="1"/>
    <col min="320" max="320" width="12" bestFit="1" customWidth="1"/>
    <col min="321" max="321" width="22.44140625" bestFit="1" customWidth="1"/>
    <col min="322" max="322" width="12" bestFit="1" customWidth="1"/>
    <col min="323" max="323" width="22.44140625" bestFit="1" customWidth="1"/>
    <col min="324" max="324" width="17.44140625" bestFit="1" customWidth="1"/>
    <col min="325" max="325" width="12" bestFit="1" customWidth="1"/>
    <col min="326" max="326" width="19.5546875" bestFit="1" customWidth="1"/>
    <col min="327" max="327" width="12" bestFit="1" customWidth="1"/>
    <col min="328" max="328" width="28.109375" bestFit="1" customWidth="1"/>
    <col min="329" max="329" width="12" bestFit="1" customWidth="1"/>
    <col min="330" max="330" width="12.6640625" bestFit="1" customWidth="1"/>
    <col min="331" max="331" width="12" bestFit="1" customWidth="1"/>
    <col min="332" max="332" width="28.109375" bestFit="1" customWidth="1"/>
    <col min="333" max="333" width="12" bestFit="1" customWidth="1"/>
    <col min="334" max="334" width="19.5546875" bestFit="1" customWidth="1"/>
    <col min="335" max="335" width="23.88671875" bestFit="1" customWidth="1"/>
    <col min="336" max="337" width="12" bestFit="1" customWidth="1"/>
    <col min="338" max="338" width="22.44140625" bestFit="1" customWidth="1"/>
    <col min="339" max="339" width="23.109375" bestFit="1" customWidth="1"/>
    <col min="340" max="340" width="12.6640625" bestFit="1" customWidth="1"/>
    <col min="341" max="341" width="12" bestFit="1" customWidth="1"/>
    <col min="342" max="342" width="23.88671875" bestFit="1" customWidth="1"/>
    <col min="343" max="343" width="12" bestFit="1" customWidth="1"/>
    <col min="344" max="344" width="19.5546875" bestFit="1" customWidth="1"/>
    <col min="345" max="345" width="27" bestFit="1" customWidth="1"/>
    <col min="346" max="346" width="17.44140625" bestFit="1" customWidth="1"/>
    <col min="347" max="349" width="12" bestFit="1" customWidth="1"/>
    <col min="350" max="350" width="28.109375" bestFit="1" customWidth="1"/>
    <col min="351" max="352" width="12" bestFit="1" customWidth="1"/>
    <col min="353" max="353" width="22.44140625" bestFit="1" customWidth="1"/>
    <col min="354" max="354" width="12" bestFit="1" customWidth="1"/>
    <col min="355" max="355" width="22.44140625" bestFit="1" customWidth="1"/>
    <col min="356" max="356" width="12" bestFit="1" customWidth="1"/>
    <col min="357" max="357" width="19.5546875" bestFit="1" customWidth="1"/>
    <col min="358" max="358" width="31.33203125" bestFit="1" customWidth="1"/>
    <col min="359" max="359" width="12" bestFit="1" customWidth="1"/>
    <col min="360" max="360" width="28.109375" bestFit="1" customWidth="1"/>
    <col min="361" max="361" width="23.88671875" bestFit="1" customWidth="1"/>
    <col min="362" max="362" width="15.44140625" bestFit="1" customWidth="1"/>
    <col min="363" max="363" width="23.109375" bestFit="1" customWidth="1"/>
    <col min="364" max="366" width="12" bestFit="1" customWidth="1"/>
    <col min="367" max="367" width="19.5546875" bestFit="1" customWidth="1"/>
    <col min="368" max="368" width="12" bestFit="1" customWidth="1"/>
    <col min="369" max="369" width="27" bestFit="1" customWidth="1"/>
    <col min="370" max="370" width="23.88671875" bestFit="1" customWidth="1"/>
    <col min="371" max="371" width="12" bestFit="1" customWidth="1"/>
    <col min="372" max="372" width="22.44140625" bestFit="1" customWidth="1"/>
    <col min="373" max="373" width="17.44140625" bestFit="1" customWidth="1"/>
    <col min="374" max="374" width="12" bestFit="1" customWidth="1"/>
    <col min="375" max="375" width="28.109375" bestFit="1" customWidth="1"/>
    <col min="376" max="378" width="12" bestFit="1" customWidth="1"/>
    <col min="379" max="379" width="19.5546875" bestFit="1" customWidth="1"/>
    <col min="380" max="382" width="12" bestFit="1" customWidth="1"/>
    <col min="383" max="383" width="15.44140625" bestFit="1" customWidth="1"/>
    <col min="384" max="384" width="12" bestFit="1" customWidth="1"/>
    <col min="385" max="385" width="10.88671875" bestFit="1" customWidth="1"/>
    <col min="386" max="386" width="10.6640625" bestFit="1" customWidth="1"/>
    <col min="387" max="387" width="28.109375" bestFit="1" customWidth="1"/>
    <col min="388" max="388" width="12" bestFit="1" customWidth="1"/>
    <col min="389" max="389" width="23.88671875" bestFit="1" customWidth="1"/>
    <col min="390" max="390" width="12" bestFit="1" customWidth="1"/>
    <col min="391" max="391" width="19.5546875" bestFit="1" customWidth="1"/>
    <col min="392" max="392" width="12.6640625" bestFit="1" customWidth="1"/>
    <col min="393" max="395" width="12" bestFit="1" customWidth="1"/>
    <col min="396" max="396" width="31.33203125" bestFit="1" customWidth="1"/>
    <col min="397" max="397" width="15.44140625" bestFit="1" customWidth="1"/>
    <col min="398" max="398" width="12" bestFit="1" customWidth="1"/>
    <col min="399" max="399" width="31.33203125" bestFit="1" customWidth="1"/>
    <col min="400" max="400" width="12" bestFit="1" customWidth="1"/>
    <col min="401" max="401" width="19.5546875" bestFit="1" customWidth="1"/>
    <col min="402" max="403" width="12" bestFit="1" customWidth="1"/>
    <col min="404" max="404" width="15.44140625" bestFit="1" customWidth="1"/>
    <col min="405" max="405" width="12" bestFit="1" customWidth="1"/>
    <col min="406" max="406" width="15.44140625" bestFit="1" customWidth="1"/>
    <col min="407" max="407" width="12" bestFit="1" customWidth="1"/>
    <col min="408" max="408" width="28.109375" bestFit="1" customWidth="1"/>
    <col min="409" max="411" width="12" bestFit="1" customWidth="1"/>
    <col min="412" max="412" width="17.44140625" bestFit="1" customWidth="1"/>
    <col min="413" max="413" width="12.6640625" bestFit="1" customWidth="1"/>
    <col min="414" max="418" width="12" bestFit="1" customWidth="1"/>
    <col min="419" max="419" width="23.88671875" bestFit="1" customWidth="1"/>
    <col min="420" max="423" width="12" bestFit="1" customWidth="1"/>
    <col min="424" max="424" width="31.33203125" bestFit="1" customWidth="1"/>
    <col min="425" max="431" width="12" bestFit="1" customWidth="1"/>
    <col min="432" max="432" width="28.109375" bestFit="1" customWidth="1"/>
    <col min="433" max="433" width="23.88671875" bestFit="1" customWidth="1"/>
    <col min="434" max="434" width="12" bestFit="1" customWidth="1"/>
    <col min="435" max="435" width="15.44140625" bestFit="1" customWidth="1"/>
    <col min="436" max="436" width="12" bestFit="1" customWidth="1"/>
    <col min="437" max="437" width="23.88671875" bestFit="1" customWidth="1"/>
    <col min="438" max="440" width="12" bestFit="1" customWidth="1"/>
    <col min="441" max="441" width="19.5546875" bestFit="1" customWidth="1"/>
    <col min="442" max="448" width="12" bestFit="1" customWidth="1"/>
    <col min="449" max="449" width="15.44140625" bestFit="1" customWidth="1"/>
    <col min="450" max="450" width="12" bestFit="1" customWidth="1"/>
    <col min="451" max="451" width="12.6640625" bestFit="1" customWidth="1"/>
    <col min="452" max="452" width="12" bestFit="1" customWidth="1"/>
    <col min="453" max="453" width="19.5546875" bestFit="1" customWidth="1"/>
    <col min="454" max="454" width="11" bestFit="1" customWidth="1"/>
    <col min="455" max="455" width="15.44140625" bestFit="1" customWidth="1"/>
    <col min="456" max="458" width="12" bestFit="1" customWidth="1"/>
    <col min="459" max="459" width="23.88671875" bestFit="1" customWidth="1"/>
    <col min="460" max="462" width="12" bestFit="1" customWidth="1"/>
    <col min="463" max="463" width="26.109375" bestFit="1" customWidth="1"/>
    <col min="464" max="468" width="12" bestFit="1" customWidth="1"/>
    <col min="469" max="470" width="11" bestFit="1" customWidth="1"/>
    <col min="471" max="472" width="12" bestFit="1" customWidth="1"/>
    <col min="473" max="473" width="14.5546875" bestFit="1" customWidth="1"/>
    <col min="474" max="474" width="23.109375" bestFit="1" customWidth="1"/>
    <col min="475" max="475" width="12" bestFit="1" customWidth="1"/>
    <col min="476" max="476" width="19.5546875" bestFit="1" customWidth="1"/>
    <col min="477" max="478" width="11" bestFit="1" customWidth="1"/>
    <col min="479" max="479" width="12" bestFit="1" customWidth="1"/>
    <col min="480" max="480" width="23.109375" bestFit="1" customWidth="1"/>
    <col min="481" max="485" width="12" bestFit="1" customWidth="1"/>
    <col min="486" max="486" width="22.44140625" bestFit="1" customWidth="1"/>
    <col min="487" max="489" width="12" bestFit="1" customWidth="1"/>
    <col min="490" max="490" width="31.33203125" bestFit="1" customWidth="1"/>
    <col min="491" max="494" width="12" bestFit="1" customWidth="1"/>
    <col min="495" max="495" width="11" bestFit="1" customWidth="1"/>
    <col min="496" max="503" width="12" bestFit="1" customWidth="1"/>
    <col min="504" max="504" width="31.33203125" bestFit="1" customWidth="1"/>
    <col min="505" max="505" width="12" bestFit="1" customWidth="1"/>
    <col min="506" max="506" width="12.6640625" bestFit="1" customWidth="1"/>
    <col min="507" max="510" width="12" bestFit="1" customWidth="1"/>
    <col min="511" max="511" width="15.44140625" bestFit="1" customWidth="1"/>
    <col min="512" max="512" width="23.109375" bestFit="1" customWidth="1"/>
    <col min="513" max="515" width="12" bestFit="1" customWidth="1"/>
    <col min="516" max="516" width="22.44140625" bestFit="1" customWidth="1"/>
    <col min="517" max="517" width="12" bestFit="1" customWidth="1"/>
    <col min="518" max="518" width="23.109375" bestFit="1" customWidth="1"/>
    <col min="519" max="519" width="12" bestFit="1" customWidth="1"/>
    <col min="520" max="520" width="17.44140625" bestFit="1" customWidth="1"/>
    <col min="521" max="521" width="12" bestFit="1" customWidth="1"/>
    <col min="522" max="522" width="22.44140625" bestFit="1" customWidth="1"/>
    <col min="523" max="523" width="12" bestFit="1" customWidth="1"/>
    <col min="524" max="524" width="11" bestFit="1" customWidth="1"/>
    <col min="525" max="525" width="19.5546875" bestFit="1" customWidth="1"/>
    <col min="526" max="526" width="12" bestFit="1" customWidth="1"/>
    <col min="527" max="527" width="23.109375" bestFit="1" customWidth="1"/>
    <col min="528" max="528" width="12.6640625" bestFit="1" customWidth="1"/>
    <col min="529" max="531" width="12" bestFit="1" customWidth="1"/>
    <col min="532" max="532" width="28.109375" bestFit="1" customWidth="1"/>
    <col min="533" max="533" width="11" bestFit="1" customWidth="1"/>
    <col min="534" max="534" width="12" bestFit="1" customWidth="1"/>
    <col min="535" max="535" width="27" bestFit="1" customWidth="1"/>
    <col min="536" max="536" width="12" bestFit="1" customWidth="1"/>
    <col min="537" max="537" width="22.44140625" bestFit="1" customWidth="1"/>
    <col min="538" max="538" width="12" bestFit="1" customWidth="1"/>
    <col min="539" max="539" width="22.44140625" bestFit="1" customWidth="1"/>
    <col min="540" max="540" width="17.44140625" bestFit="1" customWidth="1"/>
    <col min="541" max="541" width="12" bestFit="1" customWidth="1"/>
    <col min="542" max="542" width="19.5546875" bestFit="1" customWidth="1"/>
    <col min="543" max="543" width="12" bestFit="1" customWidth="1"/>
    <col min="544" max="544" width="28.109375" bestFit="1" customWidth="1"/>
    <col min="545" max="545" width="12" bestFit="1" customWidth="1"/>
    <col min="546" max="546" width="12.6640625" bestFit="1" customWidth="1"/>
    <col min="547" max="547" width="12" bestFit="1" customWidth="1"/>
    <col min="548" max="548" width="28.109375" bestFit="1" customWidth="1"/>
    <col min="549" max="549" width="12" bestFit="1" customWidth="1"/>
    <col min="550" max="550" width="19.5546875" bestFit="1" customWidth="1"/>
    <col min="551" max="551" width="23.88671875" bestFit="1" customWidth="1"/>
    <col min="552" max="552" width="11" bestFit="1" customWidth="1"/>
    <col min="553" max="553" width="12" bestFit="1" customWidth="1"/>
    <col min="554" max="554" width="22.44140625" bestFit="1" customWidth="1"/>
    <col min="555" max="555" width="23.109375" bestFit="1" customWidth="1"/>
    <col min="556" max="556" width="12.6640625" bestFit="1" customWidth="1"/>
    <col min="557" max="557" width="12" bestFit="1" customWidth="1"/>
    <col min="558" max="558" width="23.88671875" bestFit="1" customWidth="1"/>
    <col min="559" max="559" width="12" bestFit="1" customWidth="1"/>
    <col min="560" max="560" width="19.5546875" bestFit="1" customWidth="1"/>
    <col min="561" max="561" width="27" bestFit="1" customWidth="1"/>
    <col min="562" max="562" width="17.44140625" bestFit="1" customWidth="1"/>
    <col min="563" max="563" width="12" bestFit="1" customWidth="1"/>
    <col min="564" max="565" width="11" bestFit="1" customWidth="1"/>
    <col min="566" max="566" width="28.109375" bestFit="1" customWidth="1"/>
    <col min="567" max="568" width="12" bestFit="1" customWidth="1"/>
    <col min="569" max="569" width="22.44140625" bestFit="1" customWidth="1"/>
    <col min="570" max="570" width="12" bestFit="1" customWidth="1"/>
    <col min="571" max="571" width="22.44140625" bestFit="1" customWidth="1"/>
    <col min="572" max="572" width="12" bestFit="1" customWidth="1"/>
    <col min="573" max="573" width="19.5546875" bestFit="1" customWidth="1"/>
    <col min="574" max="574" width="31.33203125" bestFit="1" customWidth="1"/>
    <col min="575" max="575" width="12" bestFit="1" customWidth="1"/>
    <col min="576" max="576" width="28.109375" bestFit="1" customWidth="1"/>
    <col min="577" max="577" width="23.88671875" bestFit="1" customWidth="1"/>
    <col min="578" max="578" width="15.44140625" bestFit="1" customWidth="1"/>
    <col min="579" max="579" width="23.109375" bestFit="1" customWidth="1"/>
    <col min="580" max="582" width="12" bestFit="1" customWidth="1"/>
    <col min="583" max="583" width="19.5546875" bestFit="1" customWidth="1"/>
    <col min="584" max="584" width="11" bestFit="1" customWidth="1"/>
    <col min="585" max="585" width="27" bestFit="1" customWidth="1"/>
    <col min="586" max="586" width="23.88671875" bestFit="1" customWidth="1"/>
    <col min="587" max="587" width="12" bestFit="1" customWidth="1"/>
    <col min="588" max="588" width="22.44140625" bestFit="1" customWidth="1"/>
    <col min="589" max="589" width="17.44140625" bestFit="1" customWidth="1"/>
    <col min="590" max="590" width="12" bestFit="1" customWidth="1"/>
    <col min="591" max="591" width="28.109375" bestFit="1" customWidth="1"/>
    <col min="592" max="594" width="12" bestFit="1" customWidth="1"/>
    <col min="595" max="595" width="19.5546875" bestFit="1" customWidth="1"/>
    <col min="596" max="598" width="12" bestFit="1" customWidth="1"/>
    <col min="599" max="599" width="15.44140625" bestFit="1" customWidth="1"/>
    <col min="600" max="602" width="12" bestFit="1" customWidth="1"/>
    <col min="603" max="603" width="28.109375" bestFit="1" customWidth="1"/>
    <col min="604" max="604" width="12" bestFit="1" customWidth="1"/>
    <col min="605" max="605" width="23.88671875" bestFit="1" customWidth="1"/>
    <col min="606" max="606" width="12" bestFit="1" customWidth="1"/>
    <col min="607" max="607" width="19.5546875" bestFit="1" customWidth="1"/>
    <col min="608" max="608" width="12.6640625" bestFit="1" customWidth="1"/>
    <col min="609" max="611" width="12" bestFit="1" customWidth="1"/>
    <col min="612" max="612" width="31.33203125" bestFit="1" customWidth="1"/>
    <col min="613" max="613" width="15.44140625" bestFit="1" customWidth="1"/>
    <col min="614" max="614" width="12" bestFit="1" customWidth="1"/>
    <col min="615" max="615" width="31.33203125" bestFit="1" customWidth="1"/>
    <col min="616" max="616" width="12" bestFit="1" customWidth="1"/>
    <col min="617" max="617" width="19.5546875" bestFit="1" customWidth="1"/>
    <col min="618" max="619" width="12" bestFit="1" customWidth="1"/>
    <col min="620" max="620" width="15.44140625" bestFit="1" customWidth="1"/>
    <col min="621" max="621" width="12" bestFit="1" customWidth="1"/>
    <col min="622" max="622" width="15.44140625" bestFit="1" customWidth="1"/>
    <col min="623" max="623" width="11" bestFit="1" customWidth="1"/>
    <col min="624" max="624" width="28.109375" bestFit="1" customWidth="1"/>
    <col min="625" max="627" width="12" bestFit="1" customWidth="1"/>
    <col min="628" max="628" width="17.44140625" bestFit="1" customWidth="1"/>
    <col min="629" max="629" width="12.6640625" bestFit="1" customWidth="1"/>
    <col min="630" max="634" width="12" bestFit="1" customWidth="1"/>
    <col min="635" max="635" width="23.88671875" bestFit="1" customWidth="1"/>
    <col min="636" max="639" width="12" bestFit="1" customWidth="1"/>
    <col min="640" max="640" width="31.33203125" bestFit="1" customWidth="1"/>
    <col min="641" max="643" width="12" bestFit="1" customWidth="1"/>
    <col min="644" max="645" width="11" bestFit="1" customWidth="1"/>
    <col min="646" max="647" width="12" bestFit="1" customWidth="1"/>
    <col min="648" max="648" width="28.109375" bestFit="1" customWidth="1"/>
    <col min="649" max="649" width="23.88671875" bestFit="1" customWidth="1"/>
    <col min="650" max="650" width="12" bestFit="1" customWidth="1"/>
    <col min="651" max="651" width="15.44140625" bestFit="1" customWidth="1"/>
    <col min="652" max="652" width="12" bestFit="1" customWidth="1"/>
    <col min="653" max="653" width="23.88671875" bestFit="1" customWidth="1"/>
    <col min="654" max="656" width="12" bestFit="1" customWidth="1"/>
    <col min="657" max="657" width="19.5546875" bestFit="1" customWidth="1"/>
    <col min="658" max="658" width="12" bestFit="1" customWidth="1"/>
    <col min="659" max="660" width="11" bestFit="1" customWidth="1"/>
    <col min="661" max="664" width="12" bestFit="1" customWidth="1"/>
    <col min="665" max="665" width="15.44140625" bestFit="1" customWidth="1"/>
    <col min="666" max="666" width="12" bestFit="1" customWidth="1"/>
    <col min="667" max="667" width="12.6640625" bestFit="1" customWidth="1"/>
    <col min="668" max="668" width="12" bestFit="1" customWidth="1"/>
    <col min="669" max="669" width="19.5546875" bestFit="1" customWidth="1"/>
    <col min="670" max="670" width="12" bestFit="1" customWidth="1"/>
    <col min="671" max="671" width="15.44140625" bestFit="1" customWidth="1"/>
    <col min="672" max="674" width="12" bestFit="1" customWidth="1"/>
    <col min="675" max="675" width="23.88671875" bestFit="1" customWidth="1"/>
    <col min="676" max="676" width="12" bestFit="1" customWidth="1"/>
    <col min="677" max="677" width="11" bestFit="1" customWidth="1"/>
    <col min="678" max="678" width="11.6640625" bestFit="1" customWidth="1"/>
    <col min="679" max="679" width="24.44140625" bestFit="1" customWidth="1"/>
    <col min="680" max="680" width="10.6640625" bestFit="1" customWidth="1"/>
    <col min="681" max="681" width="9.44140625" bestFit="1" customWidth="1"/>
    <col min="682" max="682" width="10.6640625" bestFit="1" customWidth="1"/>
    <col min="683" max="683" width="9.44140625" bestFit="1" customWidth="1"/>
    <col min="684" max="684" width="10.6640625" bestFit="1" customWidth="1"/>
    <col min="685" max="685" width="9.44140625" bestFit="1" customWidth="1"/>
    <col min="686" max="686" width="10.6640625" bestFit="1" customWidth="1"/>
    <col min="687" max="687" width="9.44140625" bestFit="1" customWidth="1"/>
    <col min="688" max="688" width="10.6640625" bestFit="1" customWidth="1"/>
    <col min="689" max="689" width="14.5546875" bestFit="1" customWidth="1"/>
    <col min="690" max="690" width="23.109375" bestFit="1" customWidth="1"/>
    <col min="691" max="691" width="10.6640625" bestFit="1" customWidth="1"/>
    <col min="692" max="692" width="19.5546875" bestFit="1" customWidth="1"/>
    <col min="693" max="693" width="9.44140625" bestFit="1" customWidth="1"/>
    <col min="694" max="694" width="10.6640625" bestFit="1" customWidth="1"/>
    <col min="695" max="695" width="9.44140625" bestFit="1" customWidth="1"/>
    <col min="696" max="696" width="23.109375" bestFit="1" customWidth="1"/>
    <col min="697" max="697" width="10.6640625" bestFit="1" customWidth="1"/>
    <col min="698" max="698" width="9.44140625" bestFit="1" customWidth="1"/>
    <col min="699" max="699" width="10.6640625" bestFit="1" customWidth="1"/>
    <col min="700" max="700" width="9.44140625" bestFit="1" customWidth="1"/>
    <col min="701" max="701" width="10.6640625" bestFit="1" customWidth="1"/>
    <col min="702" max="702" width="22.44140625" bestFit="1" customWidth="1"/>
    <col min="703" max="703" width="10.6640625" bestFit="1" customWidth="1"/>
    <col min="704" max="704" width="8" bestFit="1" customWidth="1"/>
    <col min="705" max="705" width="6.44140625" bestFit="1" customWidth="1"/>
    <col min="706" max="706" width="31.33203125" bestFit="1" customWidth="1"/>
    <col min="707" max="707" width="10.6640625" bestFit="1" customWidth="1"/>
    <col min="708" max="708" width="9.44140625" bestFit="1" customWidth="1"/>
    <col min="709" max="709" width="6.44140625" bestFit="1" customWidth="1"/>
    <col min="710" max="710" width="10.6640625" bestFit="1" customWidth="1"/>
    <col min="711" max="711" width="8" bestFit="1" customWidth="1"/>
    <col min="712" max="712" width="6.44140625" bestFit="1" customWidth="1"/>
    <col min="713" max="713" width="10.6640625" bestFit="1" customWidth="1"/>
    <col min="714" max="714" width="9.44140625" bestFit="1" customWidth="1"/>
    <col min="715" max="715" width="10.6640625" bestFit="1" customWidth="1"/>
    <col min="716" max="716" width="8" bestFit="1" customWidth="1"/>
    <col min="717" max="717" width="10.6640625" bestFit="1" customWidth="1"/>
    <col min="718" max="718" width="8" bestFit="1" customWidth="1"/>
    <col min="719" max="719" width="10.6640625" bestFit="1" customWidth="1"/>
    <col min="720" max="720" width="31.33203125" bestFit="1" customWidth="1"/>
    <col min="721" max="721" width="10.6640625" bestFit="1" customWidth="1"/>
    <col min="722" max="722" width="12.6640625" bestFit="1" customWidth="1"/>
    <col min="723" max="723" width="10.6640625" bestFit="1" customWidth="1"/>
    <col min="724" max="724" width="9.44140625" bestFit="1" customWidth="1"/>
    <col min="725" max="725" width="10.6640625" bestFit="1" customWidth="1"/>
    <col min="726" max="726" width="8" bestFit="1" customWidth="1"/>
    <col min="727" max="727" width="15.44140625" bestFit="1" customWidth="1"/>
    <col min="728" max="728" width="23.109375" bestFit="1" customWidth="1"/>
    <col min="729" max="729" width="12" bestFit="1" customWidth="1"/>
    <col min="730" max="730" width="9.44140625" bestFit="1" customWidth="1"/>
    <col min="731" max="731" width="10.6640625" bestFit="1" customWidth="1"/>
    <col min="732" max="732" width="22.44140625" bestFit="1" customWidth="1"/>
    <col min="733" max="733" width="10.6640625" bestFit="1" customWidth="1"/>
    <col min="734" max="734" width="23.109375" bestFit="1" customWidth="1"/>
    <col min="735" max="735" width="10.6640625" bestFit="1" customWidth="1"/>
    <col min="736" max="736" width="17.44140625" bestFit="1" customWidth="1"/>
    <col min="737" max="737" width="10.6640625" bestFit="1" customWidth="1"/>
    <col min="738" max="738" width="22.44140625" bestFit="1" customWidth="1"/>
    <col min="739" max="739" width="10.6640625" bestFit="1" customWidth="1"/>
    <col min="740" max="740" width="8" bestFit="1" customWidth="1"/>
    <col min="741" max="741" width="19.5546875" bestFit="1" customWidth="1"/>
    <col min="742" max="742" width="8.109375" bestFit="1" customWidth="1"/>
    <col min="743" max="743" width="23.109375" bestFit="1" customWidth="1"/>
    <col min="744" max="744" width="12.6640625" bestFit="1" customWidth="1"/>
    <col min="745" max="745" width="10.6640625" bestFit="1" customWidth="1"/>
    <col min="746" max="746" width="8" bestFit="1" customWidth="1"/>
    <col min="747" max="747" width="10.6640625" bestFit="1" customWidth="1"/>
    <col min="748" max="748" width="28.109375" bestFit="1" customWidth="1"/>
    <col min="749" max="749" width="10.6640625" bestFit="1" customWidth="1"/>
    <col min="750" max="750" width="8" bestFit="1" customWidth="1"/>
    <col min="751" max="751" width="27" bestFit="1" customWidth="1"/>
    <col min="752" max="752" width="6.44140625" bestFit="1" customWidth="1"/>
    <col min="753" max="753" width="22.44140625" bestFit="1" customWidth="1"/>
    <col min="754" max="754" width="10.6640625" bestFit="1" customWidth="1"/>
    <col min="755" max="755" width="22.44140625" bestFit="1" customWidth="1"/>
    <col min="756" max="756" width="17.44140625" bestFit="1" customWidth="1"/>
    <col min="757" max="757" width="12" bestFit="1" customWidth="1"/>
    <col min="758" max="758" width="19.5546875" bestFit="1" customWidth="1"/>
    <col min="759" max="759" width="10.6640625" bestFit="1" customWidth="1"/>
    <col min="760" max="760" width="28.109375" bestFit="1" customWidth="1"/>
    <col min="761" max="761" width="10.6640625" bestFit="1" customWidth="1"/>
    <col min="762" max="762" width="12.6640625" bestFit="1" customWidth="1"/>
    <col min="763" max="763" width="10.6640625" bestFit="1" customWidth="1"/>
    <col min="764" max="764" width="28.109375" bestFit="1" customWidth="1"/>
    <col min="765" max="765" width="6" bestFit="1" customWidth="1"/>
    <col min="766" max="766" width="19.5546875" bestFit="1" customWidth="1"/>
    <col min="767" max="767" width="23.88671875" bestFit="1" customWidth="1"/>
    <col min="768" max="768" width="10.88671875" bestFit="1" customWidth="1"/>
    <col min="769" max="769" width="6.44140625" bestFit="1" customWidth="1"/>
    <col min="770" max="770" width="22.44140625" bestFit="1" customWidth="1"/>
    <col min="771" max="771" width="23.109375" bestFit="1" customWidth="1"/>
    <col min="772" max="772" width="12.6640625" bestFit="1" customWidth="1"/>
    <col min="773" max="773" width="10.6640625" bestFit="1" customWidth="1"/>
    <col min="774" max="774" width="23.88671875" bestFit="1" customWidth="1"/>
    <col min="775" max="775" width="10.6640625" bestFit="1" customWidth="1"/>
    <col min="776" max="776" width="19.5546875" bestFit="1" customWidth="1"/>
    <col min="777" max="777" width="27" bestFit="1" customWidth="1"/>
    <col min="778" max="778" width="17.44140625" bestFit="1" customWidth="1"/>
    <col min="779" max="779" width="12" bestFit="1" customWidth="1"/>
    <col min="780" max="780" width="8.109375" bestFit="1" customWidth="1"/>
    <col min="781" max="781" width="10.6640625" bestFit="1" customWidth="1"/>
    <col min="782" max="782" width="28.109375" bestFit="1" customWidth="1"/>
    <col min="783" max="783" width="8.109375" bestFit="1" customWidth="1"/>
    <col min="784" max="784" width="10.88671875" bestFit="1" customWidth="1"/>
    <col min="785" max="785" width="22.44140625" bestFit="1" customWidth="1"/>
    <col min="786" max="786" width="10.6640625" bestFit="1" customWidth="1"/>
    <col min="787" max="787" width="22.44140625" bestFit="1" customWidth="1"/>
    <col min="788" max="788" width="10.6640625" bestFit="1" customWidth="1"/>
    <col min="789" max="789" width="19.5546875" bestFit="1" customWidth="1"/>
    <col min="790" max="790" width="31.33203125" bestFit="1" customWidth="1"/>
    <col min="791" max="791" width="10.6640625" bestFit="1" customWidth="1"/>
    <col min="792" max="792" width="28.109375" bestFit="1" customWidth="1"/>
    <col min="793" max="793" width="23.88671875" bestFit="1" customWidth="1"/>
    <col min="794" max="794" width="15.44140625" bestFit="1" customWidth="1"/>
    <col min="795" max="795" width="23.109375" bestFit="1" customWidth="1"/>
    <col min="796" max="796" width="10.6640625" bestFit="1" customWidth="1"/>
    <col min="797" max="797" width="10.88671875" bestFit="1" customWidth="1"/>
    <col min="798" max="798" width="10.6640625" bestFit="1" customWidth="1"/>
    <col min="799" max="799" width="19.5546875" bestFit="1" customWidth="1"/>
    <col min="800" max="800" width="8.109375" bestFit="1" customWidth="1"/>
    <col min="801" max="801" width="27" bestFit="1" customWidth="1"/>
    <col min="802" max="802" width="23.88671875" bestFit="1" customWidth="1"/>
    <col min="803" max="803" width="10.88671875" bestFit="1" customWidth="1"/>
    <col min="804" max="804" width="22.44140625" bestFit="1" customWidth="1"/>
    <col min="805" max="805" width="17.44140625" bestFit="1" customWidth="1"/>
    <col min="806" max="806" width="12" bestFit="1" customWidth="1"/>
    <col min="807" max="807" width="28.109375" bestFit="1" customWidth="1"/>
    <col min="808" max="808" width="10.6640625" bestFit="1" customWidth="1"/>
    <col min="809" max="809" width="8.109375" bestFit="1" customWidth="1"/>
    <col min="810" max="810" width="10.6640625" bestFit="1" customWidth="1"/>
    <col min="811" max="811" width="19.5546875" bestFit="1" customWidth="1"/>
    <col min="812" max="812" width="8.109375" bestFit="1" customWidth="1"/>
    <col min="813" max="813" width="10.88671875" bestFit="1" customWidth="1"/>
    <col min="814" max="814" width="6.44140625" bestFit="1" customWidth="1"/>
    <col min="815" max="815" width="15.44140625" bestFit="1" customWidth="1"/>
    <col min="816" max="816" width="10.6640625" bestFit="1" customWidth="1"/>
    <col min="817" max="817" width="10.88671875" bestFit="1" customWidth="1"/>
    <col min="818" max="818" width="10.6640625" bestFit="1" customWidth="1"/>
    <col min="819" max="819" width="28.109375" bestFit="1" customWidth="1"/>
    <col min="820" max="820" width="10.6640625" bestFit="1" customWidth="1"/>
    <col min="821" max="821" width="23.88671875" bestFit="1" customWidth="1"/>
    <col min="822" max="822" width="10.6640625" bestFit="1" customWidth="1"/>
    <col min="823" max="823" width="19.5546875" bestFit="1" customWidth="1"/>
    <col min="824" max="824" width="12.6640625" bestFit="1" customWidth="1"/>
    <col min="825" max="825" width="10.6640625" bestFit="1" customWidth="1"/>
    <col min="826" max="826" width="8.109375" bestFit="1" customWidth="1"/>
    <col min="827" max="827" width="10.88671875" bestFit="1" customWidth="1"/>
    <col min="828" max="828" width="31.33203125" bestFit="1" customWidth="1"/>
    <col min="829" max="829" width="15.44140625" bestFit="1" customWidth="1"/>
    <col min="830" max="830" width="10.6640625" bestFit="1" customWidth="1"/>
    <col min="831" max="831" width="31.33203125" bestFit="1" customWidth="1"/>
    <col min="832" max="832" width="10.6640625" bestFit="1" customWidth="1"/>
    <col min="833" max="833" width="19.5546875" bestFit="1" customWidth="1"/>
    <col min="834" max="834" width="12" bestFit="1" customWidth="1"/>
    <col min="835" max="835" width="6.44140625" bestFit="1" customWidth="1"/>
    <col min="836" max="836" width="15.44140625" bestFit="1" customWidth="1"/>
    <col min="837" max="837" width="12" bestFit="1" customWidth="1"/>
    <col min="838" max="838" width="15.44140625" bestFit="1" customWidth="1"/>
    <col min="839" max="839" width="10.6640625" bestFit="1" customWidth="1"/>
    <col min="840" max="840" width="28.109375" bestFit="1" customWidth="1"/>
    <col min="841" max="841" width="8.109375" bestFit="1" customWidth="1"/>
    <col min="842" max="842" width="10.6640625" bestFit="1" customWidth="1"/>
    <col min="843" max="843" width="10.88671875" bestFit="1" customWidth="1"/>
    <col min="844" max="844" width="17.44140625" bestFit="1" customWidth="1"/>
    <col min="845" max="845" width="12.6640625" bestFit="1" customWidth="1"/>
    <col min="846" max="846" width="10.6640625" bestFit="1" customWidth="1"/>
    <col min="847" max="847" width="10.88671875" bestFit="1" customWidth="1"/>
    <col min="848" max="848" width="10.6640625" bestFit="1" customWidth="1"/>
    <col min="849" max="849" width="10.88671875" bestFit="1" customWidth="1"/>
    <col min="850" max="850" width="10.6640625" bestFit="1" customWidth="1"/>
    <col min="851" max="851" width="23.88671875" bestFit="1" customWidth="1"/>
    <col min="852" max="852" width="10.6640625" bestFit="1" customWidth="1"/>
    <col min="853" max="853" width="12" bestFit="1" customWidth="1"/>
    <col min="854" max="854" width="10.88671875" bestFit="1" customWidth="1"/>
    <col min="855" max="855" width="10.6640625" bestFit="1" customWidth="1"/>
    <col min="856" max="856" width="31.33203125" bestFit="1" customWidth="1"/>
    <col min="857" max="857" width="10.6640625" bestFit="1" customWidth="1"/>
    <col min="858" max="858" width="10.88671875" bestFit="1" customWidth="1"/>
    <col min="859" max="859" width="10.6640625" bestFit="1" customWidth="1"/>
    <col min="860" max="860" width="10.88671875" bestFit="1" customWidth="1"/>
    <col min="861" max="861" width="10.6640625" bestFit="1" customWidth="1"/>
    <col min="862" max="862" width="8.109375" bestFit="1" customWidth="1"/>
    <col min="863" max="863" width="10.6640625" bestFit="1" customWidth="1"/>
    <col min="864" max="864" width="28.109375" bestFit="1" customWidth="1"/>
    <col min="865" max="865" width="23.88671875" bestFit="1" customWidth="1"/>
    <col min="866" max="866" width="10.88671875" bestFit="1" customWidth="1"/>
    <col min="867" max="867" width="15.44140625" bestFit="1" customWidth="1"/>
    <col min="868" max="868" width="10.6640625" bestFit="1" customWidth="1"/>
    <col min="869" max="869" width="23.88671875" bestFit="1" customWidth="1"/>
    <col min="870" max="870" width="10.6640625" bestFit="1" customWidth="1"/>
    <col min="871" max="871" width="10.88671875" bestFit="1" customWidth="1"/>
    <col min="872" max="872" width="10.6640625" bestFit="1" customWidth="1"/>
    <col min="873" max="873" width="19.5546875" bestFit="1" customWidth="1"/>
    <col min="874" max="874" width="10.6640625" bestFit="1" customWidth="1"/>
    <col min="875" max="875" width="8.109375" bestFit="1" customWidth="1"/>
    <col min="876" max="876" width="10.6640625" bestFit="1" customWidth="1"/>
    <col min="877" max="877" width="10.88671875" bestFit="1" customWidth="1"/>
    <col min="878" max="878" width="10.6640625" bestFit="1" customWidth="1"/>
    <col min="879" max="879" width="10.88671875" bestFit="1" customWidth="1"/>
    <col min="880" max="880" width="10.6640625" bestFit="1" customWidth="1"/>
    <col min="881" max="881" width="15.44140625" bestFit="1" customWidth="1"/>
    <col min="882" max="882" width="10.6640625" bestFit="1" customWidth="1"/>
    <col min="883" max="883" width="12.6640625" bestFit="1" customWidth="1"/>
    <col min="884" max="884" width="10.6640625" bestFit="1" customWidth="1"/>
    <col min="885" max="885" width="19.5546875" bestFit="1" customWidth="1"/>
    <col min="886" max="886" width="10.88671875" bestFit="1" customWidth="1"/>
    <col min="887" max="887" width="15.44140625" bestFit="1" customWidth="1"/>
    <col min="888" max="888" width="12" bestFit="1" customWidth="1"/>
    <col min="889" max="889" width="10.88671875" bestFit="1" customWidth="1"/>
    <col min="890" max="890" width="10.6640625" bestFit="1" customWidth="1"/>
    <col min="891" max="891" width="23.88671875" bestFit="1" customWidth="1"/>
    <col min="892" max="892" width="10.6640625" bestFit="1" customWidth="1"/>
    <col min="893" max="893" width="10.88671875" bestFit="1" customWidth="1"/>
    <col min="894" max="894" width="11.6640625" bestFit="1" customWidth="1"/>
    <col min="895" max="895" width="17.21875" bestFit="1" customWidth="1"/>
    <col min="896" max="896" width="10.6640625" bestFit="1" customWidth="1"/>
    <col min="897" max="897" width="9.44140625" bestFit="1" customWidth="1"/>
    <col min="898" max="898" width="10.6640625" bestFit="1" customWidth="1"/>
    <col min="899" max="899" width="9.44140625" bestFit="1" customWidth="1"/>
    <col min="900" max="900" width="10.6640625" bestFit="1" customWidth="1"/>
    <col min="901" max="901" width="9.44140625" bestFit="1" customWidth="1"/>
    <col min="902" max="902" width="10.6640625" bestFit="1" customWidth="1"/>
    <col min="903" max="903" width="9.44140625" bestFit="1" customWidth="1"/>
    <col min="904" max="904" width="10.6640625" bestFit="1" customWidth="1"/>
    <col min="905" max="905" width="14.5546875" bestFit="1" customWidth="1"/>
    <col min="906" max="906" width="23.109375" bestFit="1" customWidth="1"/>
    <col min="907" max="907" width="12" bestFit="1" customWidth="1"/>
    <col min="908" max="908" width="19.5546875" bestFit="1" customWidth="1"/>
    <col min="909" max="909" width="9.44140625" bestFit="1" customWidth="1"/>
    <col min="910" max="910" width="10.6640625" bestFit="1" customWidth="1"/>
    <col min="911" max="911" width="9.44140625" bestFit="1" customWidth="1"/>
    <col min="912" max="912" width="23.109375" bestFit="1" customWidth="1"/>
    <col min="913" max="913" width="10.6640625" bestFit="1" customWidth="1"/>
    <col min="914" max="915" width="12" bestFit="1" customWidth="1"/>
    <col min="916" max="916" width="9.44140625" bestFit="1" customWidth="1"/>
    <col min="917" max="917" width="10.6640625" bestFit="1" customWidth="1"/>
    <col min="918" max="918" width="22.44140625" bestFit="1" customWidth="1"/>
    <col min="919" max="919" width="10.6640625" bestFit="1" customWidth="1"/>
    <col min="920" max="920" width="8" bestFit="1" customWidth="1"/>
    <col min="921" max="921" width="6.44140625" bestFit="1" customWidth="1"/>
    <col min="922" max="922" width="31.33203125" bestFit="1" customWidth="1"/>
    <col min="923" max="923" width="10.6640625" bestFit="1" customWidth="1"/>
    <col min="924" max="924" width="9.44140625" bestFit="1" customWidth="1"/>
    <col min="925" max="925" width="6.44140625" bestFit="1" customWidth="1"/>
    <col min="926" max="926" width="10.6640625" bestFit="1" customWidth="1"/>
    <col min="927" max="927" width="8" bestFit="1" customWidth="1"/>
    <col min="928" max="928" width="6.44140625" bestFit="1" customWidth="1"/>
    <col min="929" max="929" width="10.6640625" bestFit="1" customWidth="1"/>
    <col min="930" max="930" width="9.44140625" bestFit="1" customWidth="1"/>
    <col min="931" max="931" width="10.6640625" bestFit="1" customWidth="1"/>
    <col min="932" max="932" width="8" bestFit="1" customWidth="1"/>
    <col min="933" max="933" width="10.6640625" bestFit="1" customWidth="1"/>
    <col min="934" max="934" width="8" bestFit="1" customWidth="1"/>
    <col min="935" max="935" width="10.6640625" bestFit="1" customWidth="1"/>
    <col min="936" max="936" width="31.33203125" bestFit="1" customWidth="1"/>
    <col min="937" max="937" width="10.6640625" bestFit="1" customWidth="1"/>
    <col min="938" max="938" width="12.6640625" bestFit="1" customWidth="1"/>
    <col min="939" max="939" width="10.6640625" bestFit="1" customWidth="1"/>
    <col min="940" max="940" width="9.44140625" bestFit="1" customWidth="1"/>
    <col min="941" max="941" width="10.6640625" bestFit="1" customWidth="1"/>
    <col min="942" max="942" width="8" bestFit="1" customWidth="1"/>
    <col min="943" max="943" width="15.44140625" bestFit="1" customWidth="1"/>
    <col min="944" max="944" width="23.109375" bestFit="1" customWidth="1"/>
    <col min="945" max="945" width="12" bestFit="1" customWidth="1"/>
    <col min="946" max="946" width="9.44140625" bestFit="1" customWidth="1"/>
    <col min="947" max="947" width="10.6640625" bestFit="1" customWidth="1"/>
    <col min="948" max="948" width="22.44140625" bestFit="1" customWidth="1"/>
    <col min="949" max="949" width="10.6640625" bestFit="1" customWidth="1"/>
    <col min="950" max="950" width="23.109375" bestFit="1" customWidth="1"/>
    <col min="951" max="951" width="10.6640625" bestFit="1" customWidth="1"/>
    <col min="952" max="952" width="17.44140625" bestFit="1" customWidth="1"/>
    <col min="953" max="953" width="10.6640625" bestFit="1" customWidth="1"/>
    <col min="954" max="954" width="22.44140625" bestFit="1" customWidth="1"/>
    <col min="955" max="955" width="10.6640625" bestFit="1" customWidth="1"/>
    <col min="956" max="956" width="8" bestFit="1" customWidth="1"/>
    <col min="957" max="957" width="19.5546875" bestFit="1" customWidth="1"/>
    <col min="958" max="958" width="8.109375" bestFit="1" customWidth="1"/>
    <col min="959" max="959" width="23.109375" bestFit="1" customWidth="1"/>
    <col min="960" max="960" width="12.6640625" bestFit="1" customWidth="1"/>
    <col min="961" max="961" width="12" bestFit="1" customWidth="1"/>
    <col min="962" max="962" width="8" bestFit="1" customWidth="1"/>
    <col min="963" max="963" width="10.6640625" bestFit="1" customWidth="1"/>
    <col min="964" max="964" width="28.109375" bestFit="1" customWidth="1"/>
    <col min="965" max="965" width="10.6640625" bestFit="1" customWidth="1"/>
    <col min="966" max="966" width="8" bestFit="1" customWidth="1"/>
    <col min="967" max="967" width="27" bestFit="1" customWidth="1"/>
    <col min="968" max="968" width="6.44140625" bestFit="1" customWidth="1"/>
    <col min="969" max="969" width="22.44140625" bestFit="1" customWidth="1"/>
    <col min="970" max="970" width="10.6640625" bestFit="1" customWidth="1"/>
    <col min="971" max="971" width="22.44140625" bestFit="1" customWidth="1"/>
    <col min="972" max="972" width="17.44140625" bestFit="1" customWidth="1"/>
    <col min="973" max="973" width="10.6640625" bestFit="1" customWidth="1"/>
    <col min="974" max="974" width="19.5546875" bestFit="1" customWidth="1"/>
    <col min="975" max="975" width="10.6640625" bestFit="1" customWidth="1"/>
    <col min="976" max="976" width="28.109375" bestFit="1" customWidth="1"/>
    <col min="977" max="977" width="10.6640625" bestFit="1" customWidth="1"/>
    <col min="978" max="978" width="12.6640625" bestFit="1" customWidth="1"/>
    <col min="979" max="979" width="10.6640625" bestFit="1" customWidth="1"/>
    <col min="980" max="980" width="28.109375" bestFit="1" customWidth="1"/>
    <col min="981" max="981" width="6" bestFit="1" customWidth="1"/>
    <col min="982" max="982" width="19.5546875" bestFit="1" customWidth="1"/>
    <col min="983" max="983" width="23.88671875" bestFit="1" customWidth="1"/>
    <col min="984" max="984" width="10.88671875" bestFit="1" customWidth="1"/>
    <col min="985" max="985" width="6.44140625" bestFit="1" customWidth="1"/>
    <col min="986" max="986" width="22.44140625" bestFit="1" customWidth="1"/>
    <col min="987" max="987" width="23.109375" bestFit="1" customWidth="1"/>
    <col min="988" max="988" width="12.6640625" bestFit="1" customWidth="1"/>
    <col min="989" max="989" width="10.6640625" bestFit="1" customWidth="1"/>
    <col min="990" max="990" width="23.88671875" bestFit="1" customWidth="1"/>
    <col min="991" max="991" width="10.6640625" bestFit="1" customWidth="1"/>
    <col min="992" max="992" width="19.5546875" bestFit="1" customWidth="1"/>
    <col min="993" max="993" width="27" bestFit="1" customWidth="1"/>
    <col min="994" max="994" width="17.44140625" bestFit="1" customWidth="1"/>
    <col min="995" max="995" width="12" bestFit="1" customWidth="1"/>
    <col min="996" max="996" width="8.109375" bestFit="1" customWidth="1"/>
    <col min="997" max="997" width="10.6640625" bestFit="1" customWidth="1"/>
    <col min="998" max="998" width="28.109375" bestFit="1" customWidth="1"/>
    <col min="999" max="999" width="8.109375" bestFit="1" customWidth="1"/>
    <col min="1000" max="1000" width="10.88671875" bestFit="1" customWidth="1"/>
    <col min="1001" max="1001" width="22.44140625" bestFit="1" customWidth="1"/>
    <col min="1002" max="1002" width="10.6640625" bestFit="1" customWidth="1"/>
    <col min="1003" max="1003" width="22.44140625" bestFit="1" customWidth="1"/>
    <col min="1004" max="1004" width="10.6640625" bestFit="1" customWidth="1"/>
    <col min="1005" max="1005" width="19.5546875" bestFit="1" customWidth="1"/>
    <col min="1006" max="1006" width="31.33203125" bestFit="1" customWidth="1"/>
    <col min="1007" max="1007" width="10.6640625" bestFit="1" customWidth="1"/>
    <col min="1008" max="1008" width="28.109375" bestFit="1" customWidth="1"/>
    <col min="1009" max="1009" width="23.88671875" bestFit="1" customWidth="1"/>
    <col min="1010" max="1010" width="15.44140625" bestFit="1" customWidth="1"/>
    <col min="1011" max="1011" width="23.109375" bestFit="1" customWidth="1"/>
    <col min="1012" max="1012" width="10.6640625" bestFit="1" customWidth="1"/>
    <col min="1013" max="1013" width="10.88671875" bestFit="1" customWidth="1"/>
    <col min="1014" max="1014" width="10.6640625" bestFit="1" customWidth="1"/>
    <col min="1015" max="1015" width="19.5546875" bestFit="1" customWidth="1"/>
    <col min="1016" max="1016" width="8.109375" bestFit="1" customWidth="1"/>
    <col min="1017" max="1017" width="27" bestFit="1" customWidth="1"/>
    <col min="1018" max="1018" width="23.88671875" bestFit="1" customWidth="1"/>
    <col min="1019" max="1019" width="10.88671875" bestFit="1" customWidth="1"/>
    <col min="1020" max="1020" width="22.44140625" bestFit="1" customWidth="1"/>
    <col min="1021" max="1021" width="17.44140625" bestFit="1" customWidth="1"/>
    <col min="1022" max="1022" width="10.6640625" bestFit="1" customWidth="1"/>
    <col min="1023" max="1023" width="28.109375" bestFit="1" customWidth="1"/>
    <col min="1024" max="1024" width="10.6640625" bestFit="1" customWidth="1"/>
    <col min="1025" max="1025" width="8.109375" bestFit="1" customWidth="1"/>
    <col min="1026" max="1026" width="10.6640625" bestFit="1" customWidth="1"/>
    <col min="1027" max="1027" width="19.5546875" bestFit="1" customWidth="1"/>
    <col min="1028" max="1028" width="8.109375" bestFit="1" customWidth="1"/>
    <col min="1029" max="1029" width="10.88671875" bestFit="1" customWidth="1"/>
    <col min="1030" max="1030" width="7" bestFit="1" customWidth="1"/>
    <col min="1031" max="1031" width="15.44140625" bestFit="1" customWidth="1"/>
    <col min="1032" max="1032" width="10.6640625" bestFit="1" customWidth="1"/>
    <col min="1033" max="1033" width="10.88671875" bestFit="1" customWidth="1"/>
    <col min="1034" max="1034" width="10.6640625" bestFit="1" customWidth="1"/>
    <col min="1035" max="1035" width="28.109375" bestFit="1" customWidth="1"/>
    <col min="1036" max="1036" width="10.6640625" bestFit="1" customWidth="1"/>
    <col min="1037" max="1037" width="23.88671875" bestFit="1" customWidth="1"/>
    <col min="1038" max="1038" width="10.6640625" bestFit="1" customWidth="1"/>
    <col min="1039" max="1039" width="19.5546875" bestFit="1" customWidth="1"/>
    <col min="1040" max="1040" width="12.6640625" bestFit="1" customWidth="1"/>
    <col min="1041" max="1041" width="10.6640625" bestFit="1" customWidth="1"/>
    <col min="1042" max="1042" width="8.109375" bestFit="1" customWidth="1"/>
    <col min="1043" max="1043" width="10.88671875" bestFit="1" customWidth="1"/>
    <col min="1044" max="1044" width="31.33203125" bestFit="1" customWidth="1"/>
    <col min="1045" max="1045" width="15.44140625" bestFit="1" customWidth="1"/>
    <col min="1046" max="1046" width="10.6640625" bestFit="1" customWidth="1"/>
    <col min="1047" max="1047" width="31.33203125" bestFit="1" customWidth="1"/>
    <col min="1048" max="1048" width="10.6640625" bestFit="1" customWidth="1"/>
    <col min="1049" max="1049" width="19.5546875" bestFit="1" customWidth="1"/>
    <col min="1050" max="1050" width="12" bestFit="1" customWidth="1"/>
    <col min="1051" max="1051" width="6.44140625" bestFit="1" customWidth="1"/>
    <col min="1052" max="1052" width="15.44140625" bestFit="1" customWidth="1"/>
    <col min="1053" max="1053" width="12" bestFit="1" customWidth="1"/>
    <col min="1054" max="1054" width="15.44140625" bestFit="1" customWidth="1"/>
    <col min="1055" max="1055" width="10.6640625" bestFit="1" customWidth="1"/>
    <col min="1056" max="1056" width="28.109375" bestFit="1" customWidth="1"/>
    <col min="1057" max="1057" width="8.109375" bestFit="1" customWidth="1"/>
    <col min="1058" max="1058" width="10.6640625" bestFit="1" customWidth="1"/>
    <col min="1059" max="1059" width="10.88671875" bestFit="1" customWidth="1"/>
    <col min="1060" max="1060" width="17.44140625" bestFit="1" customWidth="1"/>
    <col min="1061" max="1061" width="12.6640625" bestFit="1" customWidth="1"/>
    <col min="1062" max="1062" width="10.6640625" bestFit="1" customWidth="1"/>
    <col min="1063" max="1063" width="10.88671875" bestFit="1" customWidth="1"/>
    <col min="1064" max="1064" width="10.6640625" bestFit="1" customWidth="1"/>
    <col min="1065" max="1065" width="10.88671875" bestFit="1" customWidth="1"/>
    <col min="1066" max="1066" width="10.6640625" bestFit="1" customWidth="1"/>
    <col min="1067" max="1067" width="23.88671875" bestFit="1" customWidth="1"/>
    <col min="1068" max="1068" width="10.6640625" bestFit="1" customWidth="1"/>
    <col min="1069" max="1069" width="12" bestFit="1" customWidth="1"/>
    <col min="1070" max="1070" width="10.88671875" bestFit="1" customWidth="1"/>
    <col min="1071" max="1071" width="10.6640625" bestFit="1" customWidth="1"/>
    <col min="1072" max="1072" width="31.33203125" bestFit="1" customWidth="1"/>
    <col min="1073" max="1073" width="10.6640625" bestFit="1" customWidth="1"/>
    <col min="1074" max="1074" width="10.88671875" bestFit="1" customWidth="1"/>
    <col min="1075" max="1075" width="10.6640625" bestFit="1" customWidth="1"/>
    <col min="1076" max="1076" width="10.88671875" bestFit="1" customWidth="1"/>
    <col min="1077" max="1077" width="10.6640625" bestFit="1" customWidth="1"/>
    <col min="1078" max="1078" width="8.109375" bestFit="1" customWidth="1"/>
    <col min="1079" max="1079" width="10.6640625" bestFit="1" customWidth="1"/>
    <col min="1080" max="1080" width="28.109375" bestFit="1" customWidth="1"/>
    <col min="1081" max="1081" width="23.88671875" bestFit="1" customWidth="1"/>
    <col min="1082" max="1082" width="10.88671875" bestFit="1" customWidth="1"/>
    <col min="1083" max="1083" width="15.44140625" bestFit="1" customWidth="1"/>
    <col min="1084" max="1084" width="10.6640625" bestFit="1" customWidth="1"/>
    <col min="1085" max="1085" width="23.88671875" bestFit="1" customWidth="1"/>
    <col min="1086" max="1086" width="10.6640625" bestFit="1" customWidth="1"/>
    <col min="1087" max="1087" width="10.88671875" bestFit="1" customWidth="1"/>
    <col min="1088" max="1088" width="10.6640625" bestFit="1" customWidth="1"/>
    <col min="1089" max="1089" width="19.5546875" bestFit="1" customWidth="1"/>
    <col min="1090" max="1090" width="10.6640625" bestFit="1" customWidth="1"/>
    <col min="1091" max="1091" width="8.109375" bestFit="1" customWidth="1"/>
    <col min="1092" max="1092" width="10.6640625" bestFit="1" customWidth="1"/>
    <col min="1093" max="1093" width="10.88671875" bestFit="1" customWidth="1"/>
    <col min="1094" max="1094" width="10.6640625" bestFit="1" customWidth="1"/>
    <col min="1095" max="1095" width="10.88671875" bestFit="1" customWidth="1"/>
    <col min="1096" max="1096" width="10.6640625" bestFit="1" customWidth="1"/>
    <col min="1097" max="1097" width="15.44140625" bestFit="1" customWidth="1"/>
    <col min="1098" max="1098" width="10.6640625" bestFit="1" customWidth="1"/>
    <col min="1099" max="1099" width="12.6640625" bestFit="1" customWidth="1"/>
    <col min="1100" max="1100" width="10.6640625" bestFit="1" customWidth="1"/>
    <col min="1101" max="1101" width="19.5546875" bestFit="1" customWidth="1"/>
    <col min="1102" max="1102" width="10.88671875" bestFit="1" customWidth="1"/>
    <col min="1103" max="1103" width="15.44140625" bestFit="1" customWidth="1"/>
    <col min="1104" max="1104" width="12" bestFit="1" customWidth="1"/>
    <col min="1105" max="1105" width="10.88671875" bestFit="1" customWidth="1"/>
    <col min="1106" max="1106" width="10.6640625" bestFit="1" customWidth="1"/>
    <col min="1107" max="1107" width="23.88671875" bestFit="1" customWidth="1"/>
    <col min="1108" max="1108" width="10.6640625" bestFit="1" customWidth="1"/>
    <col min="1109" max="1109" width="10.88671875" bestFit="1" customWidth="1"/>
    <col min="1110" max="1110" width="11.6640625" bestFit="1" customWidth="1"/>
    <col min="1111" max="1111" width="28.5546875" bestFit="1" customWidth="1"/>
    <col min="1112" max="1120" width="12" bestFit="1" customWidth="1"/>
    <col min="1121" max="1121" width="14.5546875" bestFit="1" customWidth="1"/>
    <col min="1122" max="1122" width="23.109375" bestFit="1" customWidth="1"/>
    <col min="1123" max="1123" width="12" bestFit="1" customWidth="1"/>
    <col min="1124" max="1124" width="19.5546875" bestFit="1" customWidth="1"/>
    <col min="1125" max="1127" width="12" bestFit="1" customWidth="1"/>
    <col min="1128" max="1128" width="23.109375" bestFit="1" customWidth="1"/>
    <col min="1129" max="1133" width="12" bestFit="1" customWidth="1"/>
    <col min="1134" max="1134" width="22.44140625" bestFit="1" customWidth="1"/>
    <col min="1135" max="1137" width="12" bestFit="1" customWidth="1"/>
    <col min="1138" max="1138" width="31.33203125" bestFit="1" customWidth="1"/>
    <col min="1139" max="1147" width="12" bestFit="1" customWidth="1"/>
    <col min="1148" max="1149" width="11" bestFit="1" customWidth="1"/>
    <col min="1150" max="1151" width="12" bestFit="1" customWidth="1"/>
    <col min="1152" max="1152" width="31.33203125" bestFit="1" customWidth="1"/>
    <col min="1153" max="1153" width="10.6640625" bestFit="1" customWidth="1"/>
    <col min="1154" max="1154" width="12.6640625" bestFit="1" customWidth="1"/>
    <col min="1155" max="1155" width="12" bestFit="1" customWidth="1"/>
    <col min="1156" max="1156" width="9.44140625" bestFit="1" customWidth="1"/>
    <col min="1157" max="1157" width="10.6640625" bestFit="1" customWidth="1"/>
    <col min="1158" max="1158" width="11" bestFit="1" customWidth="1"/>
    <col min="1159" max="1159" width="15.44140625" bestFit="1" customWidth="1"/>
    <col min="1160" max="1160" width="23.109375" bestFit="1" customWidth="1"/>
    <col min="1161" max="1163" width="12" bestFit="1" customWidth="1"/>
    <col min="1164" max="1164" width="22.44140625" bestFit="1" customWidth="1"/>
    <col min="1165" max="1165" width="12" bestFit="1" customWidth="1"/>
    <col min="1166" max="1166" width="23.109375" bestFit="1" customWidth="1"/>
    <col min="1167" max="1167" width="12" bestFit="1" customWidth="1"/>
    <col min="1168" max="1168" width="17.44140625" bestFit="1" customWidth="1"/>
    <col min="1169" max="1169" width="12" bestFit="1" customWidth="1"/>
    <col min="1170" max="1170" width="22.44140625" bestFit="1" customWidth="1"/>
    <col min="1171" max="1171" width="11" bestFit="1" customWidth="1"/>
    <col min="1172" max="1172" width="12" bestFit="1" customWidth="1"/>
    <col min="1173" max="1173" width="19.5546875" bestFit="1" customWidth="1"/>
    <col min="1174" max="1174" width="12" bestFit="1" customWidth="1"/>
    <col min="1175" max="1175" width="23.109375" bestFit="1" customWidth="1"/>
    <col min="1176" max="1176" width="12.6640625" bestFit="1" customWidth="1"/>
    <col min="1177" max="1179" width="12" bestFit="1" customWidth="1"/>
    <col min="1180" max="1180" width="28.109375" bestFit="1" customWidth="1"/>
    <col min="1181" max="1182" width="12" bestFit="1" customWidth="1"/>
    <col min="1183" max="1183" width="27" bestFit="1" customWidth="1"/>
    <col min="1184" max="1184" width="12" bestFit="1" customWidth="1"/>
    <col min="1185" max="1185" width="22.44140625" bestFit="1" customWidth="1"/>
    <col min="1186" max="1186" width="12" bestFit="1" customWidth="1"/>
    <col min="1187" max="1187" width="22.44140625" bestFit="1" customWidth="1"/>
    <col min="1188" max="1188" width="17.44140625" bestFit="1" customWidth="1"/>
    <col min="1189" max="1189" width="12" bestFit="1" customWidth="1"/>
    <col min="1190" max="1190" width="19.5546875" bestFit="1" customWidth="1"/>
    <col min="1191" max="1191" width="12" bestFit="1" customWidth="1"/>
    <col min="1192" max="1192" width="28.109375" bestFit="1" customWidth="1"/>
    <col min="1193" max="1193" width="12" bestFit="1" customWidth="1"/>
    <col min="1194" max="1194" width="12.6640625" bestFit="1" customWidth="1"/>
    <col min="1195" max="1195" width="11" bestFit="1" customWidth="1"/>
    <col min="1196" max="1196" width="28.109375" bestFit="1" customWidth="1"/>
    <col min="1197" max="1197" width="12" bestFit="1" customWidth="1"/>
    <col min="1198" max="1198" width="19.5546875" bestFit="1" customWidth="1"/>
    <col min="1199" max="1199" width="23.88671875" bestFit="1" customWidth="1"/>
    <col min="1200" max="1201" width="12" bestFit="1" customWidth="1"/>
    <col min="1202" max="1202" width="22.44140625" bestFit="1" customWidth="1"/>
    <col min="1203" max="1203" width="23.109375" bestFit="1" customWidth="1"/>
    <col min="1204" max="1204" width="12.6640625" bestFit="1" customWidth="1"/>
    <col min="1205" max="1205" width="12" bestFit="1" customWidth="1"/>
    <col min="1206" max="1206" width="23.88671875" bestFit="1" customWidth="1"/>
    <col min="1207" max="1207" width="12" bestFit="1" customWidth="1"/>
    <col min="1208" max="1208" width="19.5546875" bestFit="1" customWidth="1"/>
    <col min="1209" max="1209" width="27" bestFit="1" customWidth="1"/>
    <col min="1210" max="1210" width="17.44140625" bestFit="1" customWidth="1"/>
    <col min="1211" max="1213" width="12" bestFit="1" customWidth="1"/>
    <col min="1214" max="1214" width="28.109375" bestFit="1" customWidth="1"/>
    <col min="1215" max="1216" width="12" bestFit="1" customWidth="1"/>
    <col min="1217" max="1217" width="22.44140625" bestFit="1" customWidth="1"/>
    <col min="1218" max="1218" width="12" bestFit="1" customWidth="1"/>
    <col min="1219" max="1219" width="22.44140625" bestFit="1" customWidth="1"/>
    <col min="1220" max="1220" width="12" bestFit="1" customWidth="1"/>
    <col min="1221" max="1221" width="19.5546875" bestFit="1" customWidth="1"/>
    <col min="1222" max="1222" width="31.33203125" bestFit="1" customWidth="1"/>
    <col min="1223" max="1223" width="12" bestFit="1" customWidth="1"/>
    <col min="1224" max="1224" width="28.109375" bestFit="1" customWidth="1"/>
    <col min="1225" max="1225" width="23.88671875" bestFit="1" customWidth="1"/>
    <col min="1226" max="1226" width="15.44140625" bestFit="1" customWidth="1"/>
    <col min="1227" max="1227" width="23.109375" bestFit="1" customWidth="1"/>
    <col min="1228" max="1230" width="12" bestFit="1" customWidth="1"/>
    <col min="1231" max="1231" width="19.5546875" bestFit="1" customWidth="1"/>
    <col min="1232" max="1232" width="12" bestFit="1" customWidth="1"/>
    <col min="1233" max="1233" width="27" bestFit="1" customWidth="1"/>
    <col min="1234" max="1234" width="23.88671875" bestFit="1" customWidth="1"/>
    <col min="1235" max="1235" width="12" bestFit="1" customWidth="1"/>
    <col min="1236" max="1236" width="22.44140625" bestFit="1" customWidth="1"/>
    <col min="1237" max="1237" width="17.44140625" bestFit="1" customWidth="1"/>
    <col min="1238" max="1238" width="12" bestFit="1" customWidth="1"/>
    <col min="1239" max="1239" width="28.109375" bestFit="1" customWidth="1"/>
    <col min="1240" max="1242" width="12" bestFit="1" customWidth="1"/>
    <col min="1243" max="1243" width="19.5546875" bestFit="1" customWidth="1"/>
    <col min="1244" max="1246" width="12" bestFit="1" customWidth="1"/>
    <col min="1247" max="1247" width="15.44140625" bestFit="1" customWidth="1"/>
    <col min="1248" max="1250" width="12" bestFit="1" customWidth="1"/>
    <col min="1251" max="1251" width="28.109375" bestFit="1" customWidth="1"/>
    <col min="1252" max="1252" width="12" bestFit="1" customWidth="1"/>
    <col min="1253" max="1253" width="23.88671875" bestFit="1" customWidth="1"/>
    <col min="1254" max="1254" width="12" bestFit="1" customWidth="1"/>
    <col min="1255" max="1255" width="19.5546875" bestFit="1" customWidth="1"/>
    <col min="1256" max="1256" width="12.6640625" bestFit="1" customWidth="1"/>
    <col min="1257" max="1259" width="12" bestFit="1" customWidth="1"/>
    <col min="1260" max="1260" width="31.33203125" bestFit="1" customWidth="1"/>
    <col min="1261" max="1261" width="15.44140625" bestFit="1" customWidth="1"/>
    <col min="1262" max="1262" width="12" bestFit="1" customWidth="1"/>
    <col min="1263" max="1263" width="31.33203125" bestFit="1" customWidth="1"/>
    <col min="1264" max="1264" width="12" bestFit="1" customWidth="1"/>
    <col min="1265" max="1265" width="19.5546875" bestFit="1" customWidth="1"/>
    <col min="1266" max="1267" width="12" bestFit="1" customWidth="1"/>
    <col min="1268" max="1268" width="15.44140625" bestFit="1" customWidth="1"/>
    <col min="1269" max="1269" width="12" bestFit="1" customWidth="1"/>
    <col min="1270" max="1270" width="15.44140625" bestFit="1" customWidth="1"/>
    <col min="1271" max="1271" width="12" bestFit="1" customWidth="1"/>
    <col min="1272" max="1272" width="28.109375" bestFit="1" customWidth="1"/>
    <col min="1273" max="1275" width="12" bestFit="1" customWidth="1"/>
    <col min="1276" max="1276" width="17.44140625" bestFit="1" customWidth="1"/>
    <col min="1277" max="1277" width="12.6640625" bestFit="1" customWidth="1"/>
    <col min="1278" max="1282" width="12" bestFit="1" customWidth="1"/>
    <col min="1283" max="1283" width="23.88671875" bestFit="1" customWidth="1"/>
    <col min="1284" max="1287" width="12" bestFit="1" customWidth="1"/>
    <col min="1288" max="1288" width="31.33203125" bestFit="1" customWidth="1"/>
    <col min="1289" max="1295" width="12" bestFit="1" customWidth="1"/>
    <col min="1296" max="1296" width="28.109375" bestFit="1" customWidth="1"/>
    <col min="1297" max="1297" width="23.88671875" bestFit="1" customWidth="1"/>
    <col min="1298" max="1298" width="12" bestFit="1" customWidth="1"/>
    <col min="1299" max="1299" width="15.44140625" bestFit="1" customWidth="1"/>
    <col min="1300" max="1300" width="12" bestFit="1" customWidth="1"/>
    <col min="1301" max="1301" width="23.88671875" bestFit="1" customWidth="1"/>
    <col min="1302" max="1304" width="12" bestFit="1" customWidth="1"/>
    <col min="1305" max="1305" width="19.5546875" bestFit="1" customWidth="1"/>
    <col min="1306" max="1312" width="12" bestFit="1" customWidth="1"/>
    <col min="1313" max="1313" width="15.44140625" bestFit="1" customWidth="1"/>
    <col min="1314" max="1314" width="12" bestFit="1" customWidth="1"/>
    <col min="1315" max="1315" width="12.6640625" bestFit="1" customWidth="1"/>
    <col min="1316" max="1316" width="12" bestFit="1" customWidth="1"/>
    <col min="1317" max="1317" width="19.5546875" bestFit="1" customWidth="1"/>
    <col min="1318" max="1318" width="10.88671875" bestFit="1" customWidth="1"/>
    <col min="1319" max="1319" width="15.44140625" bestFit="1" customWidth="1"/>
    <col min="1320" max="1322" width="12" bestFit="1" customWidth="1"/>
    <col min="1323" max="1323" width="23.88671875" bestFit="1" customWidth="1"/>
    <col min="1324" max="1326" width="12" bestFit="1" customWidth="1"/>
    <col min="1327" max="1327" width="28.6640625" bestFit="1" customWidth="1"/>
    <col min="1328" max="1328" width="27.109375" bestFit="1" customWidth="1"/>
    <col min="1329" max="1329" width="30.88671875" bestFit="1" customWidth="1"/>
    <col min="1330" max="1330" width="29.21875" bestFit="1" customWidth="1"/>
    <col min="1331" max="1331" width="22" bestFit="1" customWidth="1"/>
    <col min="1332" max="1332" width="33.33203125" bestFit="1" customWidth="1"/>
  </cols>
  <sheetData>
    <row r="1" spans="1:149" x14ac:dyDescent="0.3">
      <c r="A1" s="1" t="s">
        <v>2</v>
      </c>
      <c r="B1" t="s">
        <v>216</v>
      </c>
      <c r="D1" s="1" t="s">
        <v>2</v>
      </c>
      <c r="E1" t="s">
        <v>217</v>
      </c>
      <c r="G1" s="1" t="s">
        <v>2</v>
      </c>
      <c r="H1" t="s">
        <v>218</v>
      </c>
      <c r="J1" s="1" t="s">
        <v>214</v>
      </c>
      <c r="K1" t="s">
        <v>219</v>
      </c>
    </row>
    <row r="2" spans="1:149" x14ac:dyDescent="0.3">
      <c r="A2" s="2" t="s">
        <v>26</v>
      </c>
      <c r="B2">
        <v>55000</v>
      </c>
      <c r="D2" s="2" t="s">
        <v>26</v>
      </c>
      <c r="E2">
        <v>3.9569180400000001E-2</v>
      </c>
      <c r="G2" s="2" t="s">
        <v>26</v>
      </c>
      <c r="H2">
        <v>13030</v>
      </c>
      <c r="J2" s="2" t="s">
        <v>127</v>
      </c>
      <c r="K2">
        <v>1.0351515151515152</v>
      </c>
      <c r="AA2" s="1" t="s">
        <v>14</v>
      </c>
      <c r="AB2" t="s">
        <v>231</v>
      </c>
    </row>
    <row r="3" spans="1:149" x14ac:dyDescent="0.3">
      <c r="A3" s="2" t="s">
        <v>178</v>
      </c>
      <c r="B3">
        <v>43525</v>
      </c>
      <c r="D3" s="2" t="s">
        <v>178</v>
      </c>
      <c r="E3">
        <v>8.7600517124999999E-2</v>
      </c>
      <c r="G3" s="2" t="s">
        <v>178</v>
      </c>
      <c r="H3">
        <v>11618.75</v>
      </c>
      <c r="J3" s="2" t="s">
        <v>91</v>
      </c>
      <c r="K3">
        <v>0.88442622950819672</v>
      </c>
    </row>
    <row r="4" spans="1:149" x14ac:dyDescent="0.3">
      <c r="A4" s="2" t="s">
        <v>35</v>
      </c>
      <c r="B4">
        <v>50821.428571428572</v>
      </c>
      <c r="D4" s="2" t="s">
        <v>35</v>
      </c>
      <c r="E4">
        <v>4.9935968499999997E-2</v>
      </c>
      <c r="G4" s="2" t="s">
        <v>35</v>
      </c>
      <c r="H4">
        <v>29450</v>
      </c>
      <c r="J4" s="2" t="s">
        <v>98</v>
      </c>
      <c r="K4">
        <v>0.87941298057048367</v>
      </c>
      <c r="M4" s="1" t="s">
        <v>2</v>
      </c>
      <c r="N4" t="s">
        <v>217</v>
      </c>
      <c r="O4" t="s">
        <v>216</v>
      </c>
      <c r="Q4" s="1" t="s">
        <v>2</v>
      </c>
      <c r="R4" t="s">
        <v>220</v>
      </c>
      <c r="T4" s="1" t="s">
        <v>2</v>
      </c>
      <c r="U4" t="s">
        <v>221</v>
      </c>
      <c r="W4" s="1" t="s">
        <v>2</v>
      </c>
      <c r="X4" t="s">
        <v>221</v>
      </c>
      <c r="Y4" t="s">
        <v>216</v>
      </c>
      <c r="AA4" s="1" t="s">
        <v>2</v>
      </c>
      <c r="AB4" t="s">
        <v>221</v>
      </c>
      <c r="AE4" s="1" t="s">
        <v>222</v>
      </c>
    </row>
    <row r="5" spans="1:149" x14ac:dyDescent="0.3">
      <c r="A5" s="2" t="s">
        <v>199</v>
      </c>
      <c r="B5">
        <v>60615.384615384617</v>
      </c>
      <c r="D5" s="2" t="s">
        <v>199</v>
      </c>
      <c r="E5">
        <v>5.449601530769229E-2</v>
      </c>
      <c r="G5" s="2" t="s">
        <v>199</v>
      </c>
      <c r="H5">
        <v>21384.615384615383</v>
      </c>
      <c r="J5" s="2" t="s">
        <v>210</v>
      </c>
      <c r="K5">
        <v>0.87931855024613692</v>
      </c>
      <c r="M5" s="2" t="s">
        <v>26</v>
      </c>
      <c r="N5">
        <v>3.9569180400000001E-2</v>
      </c>
      <c r="O5">
        <v>55000</v>
      </c>
      <c r="Q5" s="2" t="s">
        <v>127</v>
      </c>
      <c r="R5">
        <v>0.38238702201622249</v>
      </c>
      <c r="T5" s="2" t="s">
        <v>167</v>
      </c>
      <c r="U5">
        <v>0.96895368299999995</v>
      </c>
      <c r="W5" s="2" t="s">
        <v>121</v>
      </c>
      <c r="X5">
        <v>0.63729337600000002</v>
      </c>
      <c r="Y5">
        <v>55000</v>
      </c>
      <c r="AA5" s="2" t="s">
        <v>121</v>
      </c>
      <c r="AB5">
        <v>0.63729337600000002</v>
      </c>
      <c r="AE5" t="s">
        <v>219</v>
      </c>
      <c r="AU5" t="s">
        <v>229</v>
      </c>
      <c r="BK5" t="s">
        <v>221</v>
      </c>
      <c r="CA5" t="s">
        <v>220</v>
      </c>
      <c r="CQ5" t="s">
        <v>218</v>
      </c>
      <c r="DG5" t="s">
        <v>216</v>
      </c>
      <c r="DW5" t="s">
        <v>217</v>
      </c>
      <c r="EM5" t="s">
        <v>228</v>
      </c>
      <c r="EN5" t="s">
        <v>230</v>
      </c>
      <c r="EO5" t="s">
        <v>223</v>
      </c>
      <c r="EP5" t="s">
        <v>227</v>
      </c>
      <c r="EQ5" t="s">
        <v>226</v>
      </c>
      <c r="ER5" t="s">
        <v>224</v>
      </c>
      <c r="ES5" t="s">
        <v>225</v>
      </c>
    </row>
    <row r="6" spans="1:149" x14ac:dyDescent="0.3">
      <c r="A6" s="2" t="s">
        <v>43</v>
      </c>
      <c r="B6">
        <v>49500</v>
      </c>
      <c r="D6" s="2" t="s">
        <v>43</v>
      </c>
      <c r="E6">
        <v>6.9124520750000001E-2</v>
      </c>
      <c r="G6" s="2" t="s">
        <v>43</v>
      </c>
      <c r="H6">
        <v>11500</v>
      </c>
      <c r="J6" s="2" t="s">
        <v>201</v>
      </c>
      <c r="K6">
        <v>0.87687993882232984</v>
      </c>
      <c r="M6" s="2" t="s">
        <v>178</v>
      </c>
      <c r="N6">
        <v>8.7600517124999999E-2</v>
      </c>
      <c r="O6">
        <v>43525</v>
      </c>
      <c r="Q6" s="2" t="s">
        <v>111</v>
      </c>
      <c r="R6">
        <v>0.43790526770826899</v>
      </c>
      <c r="T6" s="2" t="s">
        <v>64</v>
      </c>
      <c r="U6">
        <v>0.96799811899999999</v>
      </c>
      <c r="W6" s="2" t="s">
        <v>181</v>
      </c>
      <c r="X6">
        <v>0.69738424499999996</v>
      </c>
      <c r="Y6">
        <v>40000</v>
      </c>
      <c r="AA6" s="2" t="s">
        <v>181</v>
      </c>
      <c r="AB6">
        <v>0.69738424499999996</v>
      </c>
      <c r="AD6" s="1" t="s">
        <v>2</v>
      </c>
      <c r="AE6" t="s">
        <v>26</v>
      </c>
      <c r="AF6" t="s">
        <v>178</v>
      </c>
      <c r="AG6" t="s">
        <v>35</v>
      </c>
      <c r="AH6" t="s">
        <v>199</v>
      </c>
      <c r="AI6" t="s">
        <v>43</v>
      </c>
      <c r="AJ6" t="s">
        <v>48</v>
      </c>
      <c r="AK6" t="s">
        <v>58</v>
      </c>
      <c r="AL6" t="s">
        <v>39</v>
      </c>
      <c r="AM6" t="s">
        <v>132</v>
      </c>
      <c r="AN6" t="s">
        <v>41</v>
      </c>
      <c r="AO6" t="s">
        <v>56</v>
      </c>
      <c r="AP6" t="s">
        <v>129</v>
      </c>
      <c r="AQ6" t="s">
        <v>105</v>
      </c>
      <c r="AR6" t="s">
        <v>141</v>
      </c>
      <c r="AS6" t="s">
        <v>153</v>
      </c>
      <c r="AT6" t="s">
        <v>136</v>
      </c>
      <c r="AU6" t="s">
        <v>26</v>
      </c>
      <c r="AV6" t="s">
        <v>178</v>
      </c>
      <c r="AW6" t="s">
        <v>35</v>
      </c>
      <c r="AX6" t="s">
        <v>199</v>
      </c>
      <c r="AY6" t="s">
        <v>43</v>
      </c>
      <c r="AZ6" t="s">
        <v>48</v>
      </c>
      <c r="BA6" t="s">
        <v>58</v>
      </c>
      <c r="BB6" t="s">
        <v>39</v>
      </c>
      <c r="BC6" t="s">
        <v>132</v>
      </c>
      <c r="BD6" t="s">
        <v>41</v>
      </c>
      <c r="BE6" t="s">
        <v>56</v>
      </c>
      <c r="BF6" t="s">
        <v>129</v>
      </c>
      <c r="BG6" t="s">
        <v>105</v>
      </c>
      <c r="BH6" t="s">
        <v>141</v>
      </c>
      <c r="BI6" t="s">
        <v>153</v>
      </c>
      <c r="BJ6" t="s">
        <v>136</v>
      </c>
      <c r="BK6" t="s">
        <v>26</v>
      </c>
      <c r="BL6" t="s">
        <v>178</v>
      </c>
      <c r="BM6" t="s">
        <v>35</v>
      </c>
      <c r="BN6" t="s">
        <v>199</v>
      </c>
      <c r="BO6" t="s">
        <v>43</v>
      </c>
      <c r="BP6" t="s">
        <v>48</v>
      </c>
      <c r="BQ6" t="s">
        <v>58</v>
      </c>
      <c r="BR6" t="s">
        <v>39</v>
      </c>
      <c r="BS6" t="s">
        <v>132</v>
      </c>
      <c r="BT6" t="s">
        <v>41</v>
      </c>
      <c r="BU6" t="s">
        <v>56</v>
      </c>
      <c r="BV6" t="s">
        <v>129</v>
      </c>
      <c r="BW6" t="s">
        <v>105</v>
      </c>
      <c r="BX6" t="s">
        <v>141</v>
      </c>
      <c r="BY6" t="s">
        <v>153</v>
      </c>
      <c r="BZ6" t="s">
        <v>136</v>
      </c>
      <c r="CA6" t="s">
        <v>26</v>
      </c>
      <c r="CB6" t="s">
        <v>178</v>
      </c>
      <c r="CC6" t="s">
        <v>35</v>
      </c>
      <c r="CD6" t="s">
        <v>199</v>
      </c>
      <c r="CE6" t="s">
        <v>43</v>
      </c>
      <c r="CF6" t="s">
        <v>48</v>
      </c>
      <c r="CG6" t="s">
        <v>58</v>
      </c>
      <c r="CH6" t="s">
        <v>39</v>
      </c>
      <c r="CI6" t="s">
        <v>132</v>
      </c>
      <c r="CJ6" t="s">
        <v>41</v>
      </c>
      <c r="CK6" t="s">
        <v>56</v>
      </c>
      <c r="CL6" t="s">
        <v>129</v>
      </c>
      <c r="CM6" t="s">
        <v>105</v>
      </c>
      <c r="CN6" t="s">
        <v>141</v>
      </c>
      <c r="CO6" t="s">
        <v>153</v>
      </c>
      <c r="CP6" t="s">
        <v>136</v>
      </c>
      <c r="CQ6" t="s">
        <v>26</v>
      </c>
      <c r="CR6" t="s">
        <v>178</v>
      </c>
      <c r="CS6" t="s">
        <v>35</v>
      </c>
      <c r="CT6" t="s">
        <v>199</v>
      </c>
      <c r="CU6" t="s">
        <v>43</v>
      </c>
      <c r="CV6" t="s">
        <v>48</v>
      </c>
      <c r="CW6" t="s">
        <v>58</v>
      </c>
      <c r="CX6" t="s">
        <v>39</v>
      </c>
      <c r="CY6" t="s">
        <v>132</v>
      </c>
      <c r="CZ6" t="s">
        <v>41</v>
      </c>
      <c r="DA6" t="s">
        <v>56</v>
      </c>
      <c r="DB6" t="s">
        <v>129</v>
      </c>
      <c r="DC6" t="s">
        <v>105</v>
      </c>
      <c r="DD6" t="s">
        <v>141</v>
      </c>
      <c r="DE6" t="s">
        <v>153</v>
      </c>
      <c r="DF6" t="s">
        <v>136</v>
      </c>
      <c r="DG6" t="s">
        <v>26</v>
      </c>
      <c r="DH6" t="s">
        <v>178</v>
      </c>
      <c r="DI6" t="s">
        <v>35</v>
      </c>
      <c r="DJ6" t="s">
        <v>199</v>
      </c>
      <c r="DK6" t="s">
        <v>43</v>
      </c>
      <c r="DL6" t="s">
        <v>48</v>
      </c>
      <c r="DM6" t="s">
        <v>58</v>
      </c>
      <c r="DN6" t="s">
        <v>39</v>
      </c>
      <c r="DO6" t="s">
        <v>132</v>
      </c>
      <c r="DP6" t="s">
        <v>41</v>
      </c>
      <c r="DQ6" t="s">
        <v>56</v>
      </c>
      <c r="DR6" t="s">
        <v>129</v>
      </c>
      <c r="DS6" t="s">
        <v>105</v>
      </c>
      <c r="DT6" t="s">
        <v>141</v>
      </c>
      <c r="DU6" t="s">
        <v>153</v>
      </c>
      <c r="DV6" t="s">
        <v>136</v>
      </c>
      <c r="DW6" t="s">
        <v>26</v>
      </c>
      <c r="DX6" t="s">
        <v>178</v>
      </c>
      <c r="DY6" t="s">
        <v>35</v>
      </c>
      <c r="DZ6" t="s">
        <v>199</v>
      </c>
      <c r="EA6" t="s">
        <v>43</v>
      </c>
      <c r="EB6" t="s">
        <v>48</v>
      </c>
      <c r="EC6" t="s">
        <v>58</v>
      </c>
      <c r="ED6" t="s">
        <v>39</v>
      </c>
      <c r="EE6" t="s">
        <v>132</v>
      </c>
      <c r="EF6" t="s">
        <v>41</v>
      </c>
      <c r="EG6" t="s">
        <v>56</v>
      </c>
      <c r="EH6" t="s">
        <v>129</v>
      </c>
      <c r="EI6" t="s">
        <v>105</v>
      </c>
      <c r="EJ6" t="s">
        <v>141</v>
      </c>
      <c r="EK6" t="s">
        <v>153</v>
      </c>
      <c r="EL6" t="s">
        <v>136</v>
      </c>
    </row>
    <row r="7" spans="1:149" x14ac:dyDescent="0.3">
      <c r="A7" s="2" t="s">
        <v>48</v>
      </c>
      <c r="B7">
        <v>66272.727272727279</v>
      </c>
      <c r="D7" s="2" t="s">
        <v>48</v>
      </c>
      <c r="E7">
        <v>5.9436983818181827E-2</v>
      </c>
      <c r="G7" s="2" t="s">
        <v>48</v>
      </c>
      <c r="H7">
        <v>16818.18181818182</v>
      </c>
      <c r="J7" s="2" t="s">
        <v>97</v>
      </c>
      <c r="K7">
        <v>0.87561352272901027</v>
      </c>
      <c r="M7" s="2" t="s">
        <v>35</v>
      </c>
      <c r="N7">
        <v>4.9935968499999997E-2</v>
      </c>
      <c r="O7">
        <v>50821.428571428572</v>
      </c>
      <c r="Q7" s="2" t="s">
        <v>88</v>
      </c>
      <c r="R7">
        <v>0.54134810422842872</v>
      </c>
      <c r="T7" s="2" t="s">
        <v>133</v>
      </c>
      <c r="U7">
        <v>0.92780724599999997</v>
      </c>
      <c r="W7" s="2" t="s">
        <v>213</v>
      </c>
      <c r="X7">
        <v>0.63071631800000005</v>
      </c>
      <c r="Y7">
        <v>50000</v>
      </c>
      <c r="AA7" s="2" t="s">
        <v>213</v>
      </c>
      <c r="AB7">
        <v>0.63071631800000005</v>
      </c>
      <c r="AD7" s="2" t="s">
        <v>121</v>
      </c>
      <c r="AG7">
        <v>0.73226185809486477</v>
      </c>
      <c r="AW7">
        <v>51000</v>
      </c>
      <c r="BM7">
        <v>0.63729337600000002</v>
      </c>
      <c r="CC7">
        <v>0.64471522700604744</v>
      </c>
      <c r="CS7">
        <v>55000</v>
      </c>
      <c r="DI7">
        <v>55000</v>
      </c>
      <c r="DY7">
        <v>4.8362599999999999E-2</v>
      </c>
      <c r="EM7">
        <v>0.73226185809486477</v>
      </c>
      <c r="EN7">
        <v>51000</v>
      </c>
      <c r="EO7">
        <v>0.63729337600000002</v>
      </c>
      <c r="EP7">
        <v>0.64471522700604744</v>
      </c>
      <c r="EQ7">
        <v>55000</v>
      </c>
      <c r="ER7">
        <v>55000</v>
      </c>
      <c r="ES7">
        <v>4.8362599999999999E-2</v>
      </c>
    </row>
    <row r="8" spans="1:149" x14ac:dyDescent="0.3">
      <c r="A8" s="2" t="s">
        <v>58</v>
      </c>
      <c r="B8">
        <v>43831.25</v>
      </c>
      <c r="D8" s="2" t="s">
        <v>58</v>
      </c>
      <c r="E8">
        <v>4.6761964062500008E-2</v>
      </c>
      <c r="G8" s="2" t="s">
        <v>58</v>
      </c>
      <c r="H8">
        <v>13675</v>
      </c>
      <c r="J8" s="2" t="s">
        <v>49</v>
      </c>
      <c r="K8">
        <v>0.87034016348374321</v>
      </c>
      <c r="M8" s="2" t="s">
        <v>199</v>
      </c>
      <c r="N8">
        <v>5.449601530769229E-2</v>
      </c>
      <c r="O8">
        <v>60615.384615384617</v>
      </c>
      <c r="Q8" s="2" t="s">
        <v>72</v>
      </c>
      <c r="R8">
        <v>0.55886643050635554</v>
      </c>
      <c r="T8" s="2" t="s">
        <v>61</v>
      </c>
      <c r="U8">
        <v>0.92374547900000004</v>
      </c>
      <c r="W8" s="2" t="s">
        <v>195</v>
      </c>
      <c r="X8">
        <v>0.64</v>
      </c>
      <c r="Y8">
        <v>61000</v>
      </c>
      <c r="AA8" s="2" t="s">
        <v>195</v>
      </c>
      <c r="AB8">
        <v>0.64</v>
      </c>
      <c r="AD8" s="2" t="s">
        <v>181</v>
      </c>
      <c r="AF8">
        <v>0.57129300695897611</v>
      </c>
      <c r="AV8">
        <v>32000</v>
      </c>
      <c r="BL8">
        <v>0.69738424499999996</v>
      </c>
      <c r="CB8">
        <v>0.74532561977475931</v>
      </c>
      <c r="CR8">
        <v>13000</v>
      </c>
      <c r="DH8">
        <v>40000</v>
      </c>
      <c r="DX8">
        <v>9.4658002000000005E-2</v>
      </c>
      <c r="EM8">
        <v>0.57129300695897611</v>
      </c>
      <c r="EN8">
        <v>32000</v>
      </c>
      <c r="EO8">
        <v>0.69738424499999996</v>
      </c>
      <c r="EP8">
        <v>0.74532561977475931</v>
      </c>
      <c r="EQ8">
        <v>13000</v>
      </c>
      <c r="ER8">
        <v>40000</v>
      </c>
      <c r="ES8">
        <v>9.4658002000000005E-2</v>
      </c>
    </row>
    <row r="9" spans="1:149" x14ac:dyDescent="0.3">
      <c r="A9" s="2" t="s">
        <v>39</v>
      </c>
      <c r="B9">
        <v>77758.620689655174</v>
      </c>
      <c r="D9" s="2" t="s">
        <v>39</v>
      </c>
      <c r="E9">
        <v>5.0630022965517232E-2</v>
      </c>
      <c r="G9" s="2" t="s">
        <v>39</v>
      </c>
      <c r="H9">
        <v>14400</v>
      </c>
      <c r="J9" s="2" t="s">
        <v>96</v>
      </c>
      <c r="K9">
        <v>0.87007879355004947</v>
      </c>
      <c r="M9" s="2" t="s">
        <v>43</v>
      </c>
      <c r="N9">
        <v>6.9124520750000001E-2</v>
      </c>
      <c r="O9">
        <v>49500</v>
      </c>
      <c r="Q9" s="2" t="s">
        <v>61</v>
      </c>
      <c r="R9">
        <v>0.56638724933486606</v>
      </c>
      <c r="T9" s="2" t="s">
        <v>29</v>
      </c>
      <c r="U9">
        <v>0.91093257000000005</v>
      </c>
      <c r="W9" s="2" t="s">
        <v>176</v>
      </c>
      <c r="X9">
        <v>0.32129606700000002</v>
      </c>
      <c r="Y9">
        <v>67000</v>
      </c>
      <c r="AA9" s="2" t="s">
        <v>176</v>
      </c>
      <c r="AB9">
        <v>0.32129606700000002</v>
      </c>
      <c r="AD9" s="2" t="s">
        <v>213</v>
      </c>
      <c r="AN9">
        <v>0.69016572726507952</v>
      </c>
      <c r="BD9">
        <v>42000</v>
      </c>
      <c r="BT9">
        <v>0.63071631800000005</v>
      </c>
      <c r="CJ9">
        <v>0.66984109095007327</v>
      </c>
      <c r="CZ9">
        <v>30000</v>
      </c>
      <c r="DP9">
        <v>50000</v>
      </c>
      <c r="EF9">
        <v>7.3499610000000007E-2</v>
      </c>
      <c r="EM9">
        <v>0.69016572726507952</v>
      </c>
      <c r="EN9">
        <v>42000</v>
      </c>
      <c r="EO9">
        <v>0.63071631800000005</v>
      </c>
      <c r="EP9">
        <v>0.66984109095007327</v>
      </c>
      <c r="EQ9">
        <v>30000</v>
      </c>
      <c r="ER9">
        <v>50000</v>
      </c>
      <c r="ES9">
        <v>7.3499610000000007E-2</v>
      </c>
    </row>
    <row r="10" spans="1:149" x14ac:dyDescent="0.3">
      <c r="A10" s="2" t="s">
        <v>132</v>
      </c>
      <c r="B10">
        <v>56458.333333333336</v>
      </c>
      <c r="D10" s="2" t="s">
        <v>132</v>
      </c>
      <c r="E10">
        <v>4.7209279E-2</v>
      </c>
      <c r="G10" s="2" t="s">
        <v>132</v>
      </c>
      <c r="H10">
        <v>22458.333333333332</v>
      </c>
      <c r="J10" s="2" t="s">
        <v>53</v>
      </c>
      <c r="K10">
        <v>0.86992523017981838</v>
      </c>
      <c r="M10" s="2" t="s">
        <v>48</v>
      </c>
      <c r="N10">
        <v>5.9436983818181827E-2</v>
      </c>
      <c r="O10">
        <v>66272.727272727279</v>
      </c>
      <c r="Q10" s="2" t="s">
        <v>66</v>
      </c>
      <c r="R10">
        <v>0.57738716322872352</v>
      </c>
      <c r="T10" s="2" t="s">
        <v>120</v>
      </c>
      <c r="U10">
        <v>0.90667733699999997</v>
      </c>
      <c r="W10" s="2" t="s">
        <v>139</v>
      </c>
      <c r="X10">
        <v>0.72849462399999998</v>
      </c>
      <c r="Y10">
        <v>40000</v>
      </c>
      <c r="AA10" s="2" t="s">
        <v>139</v>
      </c>
      <c r="AB10">
        <v>0.72849462399999998</v>
      </c>
      <c r="AD10" s="2" t="s">
        <v>195</v>
      </c>
      <c r="AM10">
        <v>0.64323154628616186</v>
      </c>
      <c r="BC10">
        <v>40000</v>
      </c>
      <c r="BS10">
        <v>0.64</v>
      </c>
      <c r="CI10">
        <v>0.78994042944736609</v>
      </c>
      <c r="CY10">
        <v>7000</v>
      </c>
      <c r="DO10">
        <v>61000</v>
      </c>
      <c r="EE10">
        <v>2.6291603E-2</v>
      </c>
      <c r="EM10">
        <v>0.64323154628616186</v>
      </c>
      <c r="EN10">
        <v>40000</v>
      </c>
      <c r="EO10">
        <v>0.64</v>
      </c>
      <c r="EP10">
        <v>0.78994042944736609</v>
      </c>
      <c r="EQ10">
        <v>7000</v>
      </c>
      <c r="ER10">
        <v>61000</v>
      </c>
      <c r="ES10">
        <v>2.6291603E-2</v>
      </c>
    </row>
    <row r="11" spans="1:149" x14ac:dyDescent="0.3">
      <c r="A11" s="2" t="s">
        <v>41</v>
      </c>
      <c r="B11">
        <v>46080</v>
      </c>
      <c r="D11" s="2" t="s">
        <v>41</v>
      </c>
      <c r="E11">
        <v>6.9428707399999998E-2</v>
      </c>
      <c r="G11" s="2" t="s">
        <v>41</v>
      </c>
      <c r="H11">
        <v>19633.333333333332</v>
      </c>
      <c r="J11" s="2" t="s">
        <v>99</v>
      </c>
      <c r="K11">
        <v>0.86978548693899849</v>
      </c>
      <c r="M11" s="2" t="s">
        <v>58</v>
      </c>
      <c r="N11">
        <v>4.6761964062500008E-2</v>
      </c>
      <c r="O11">
        <v>43831.25</v>
      </c>
      <c r="Q11" s="2" t="s">
        <v>95</v>
      </c>
      <c r="R11">
        <v>0.57911163956006628</v>
      </c>
      <c r="T11" s="2" t="s">
        <v>159</v>
      </c>
      <c r="U11">
        <v>0.90558992999999999</v>
      </c>
      <c r="W11" s="2" t="s">
        <v>69</v>
      </c>
      <c r="X11">
        <v>0.79891981700000003</v>
      </c>
      <c r="Y11">
        <v>40000</v>
      </c>
      <c r="AA11" s="2" t="s">
        <v>69</v>
      </c>
      <c r="AB11">
        <v>0.79891981700000003</v>
      </c>
      <c r="AD11" s="2" t="s">
        <v>176</v>
      </c>
      <c r="AO11">
        <v>0.84521424089703889</v>
      </c>
      <c r="BE11">
        <v>55500</v>
      </c>
      <c r="BU11">
        <v>0.32129606700000002</v>
      </c>
      <c r="CK11">
        <v>0.78028095610356996</v>
      </c>
      <c r="DA11">
        <v>21000</v>
      </c>
      <c r="DQ11">
        <v>67000</v>
      </c>
      <c r="EG11">
        <v>4.7263682000000001E-2</v>
      </c>
      <c r="EM11">
        <v>0.84521424089703889</v>
      </c>
      <c r="EN11">
        <v>55500</v>
      </c>
      <c r="EO11">
        <v>0.32129606700000002</v>
      </c>
      <c r="EP11">
        <v>0.78028095610356996</v>
      </c>
      <c r="EQ11">
        <v>21000</v>
      </c>
      <c r="ER11">
        <v>67000</v>
      </c>
      <c r="ES11">
        <v>4.7263682000000001E-2</v>
      </c>
    </row>
    <row r="12" spans="1:149" x14ac:dyDescent="0.3">
      <c r="A12" s="2" t="s">
        <v>56</v>
      </c>
      <c r="B12">
        <v>52642.857142857145</v>
      </c>
      <c r="D12" s="2" t="s">
        <v>56</v>
      </c>
      <c r="E12">
        <v>5.8545672285714279E-2</v>
      </c>
      <c r="G12" s="2" t="s">
        <v>56</v>
      </c>
      <c r="H12">
        <v>12771.428571428571</v>
      </c>
      <c r="J12" s="2" t="s">
        <v>215</v>
      </c>
      <c r="K12">
        <v>0.89109324111802835</v>
      </c>
      <c r="M12" s="2" t="s">
        <v>39</v>
      </c>
      <c r="N12">
        <v>5.0630022965517232E-2</v>
      </c>
      <c r="O12">
        <v>77758.620689655174</v>
      </c>
      <c r="Q12" s="2" t="s">
        <v>192</v>
      </c>
      <c r="R12">
        <v>0.58464046256996982</v>
      </c>
      <c r="T12" s="2" t="s">
        <v>163</v>
      </c>
      <c r="U12">
        <v>0.90407454399999998</v>
      </c>
      <c r="W12" s="2" t="s">
        <v>185</v>
      </c>
      <c r="X12">
        <v>0.584776403</v>
      </c>
      <c r="Y12">
        <v>37600</v>
      </c>
      <c r="AA12" s="2" t="s">
        <v>185</v>
      </c>
      <c r="AB12">
        <v>0.584776403</v>
      </c>
      <c r="AD12" s="2" t="s">
        <v>139</v>
      </c>
      <c r="AN12">
        <v>0.73777961135008219</v>
      </c>
      <c r="BD12">
        <v>29000</v>
      </c>
      <c r="BT12">
        <v>0.72849462399999998</v>
      </c>
      <c r="CJ12">
        <v>0.70782212870117878</v>
      </c>
      <c r="CZ12">
        <v>8000</v>
      </c>
      <c r="DP12">
        <v>40000</v>
      </c>
      <c r="EF12">
        <v>4.2505111999999998E-2</v>
      </c>
      <c r="EM12">
        <v>0.73777961135008219</v>
      </c>
      <c r="EN12">
        <v>29000</v>
      </c>
      <c r="EO12">
        <v>0.72849462399999998</v>
      </c>
      <c r="EP12">
        <v>0.70782212870117878</v>
      </c>
      <c r="EQ12">
        <v>8000</v>
      </c>
      <c r="ER12">
        <v>40000</v>
      </c>
      <c r="ES12">
        <v>4.2505111999999998E-2</v>
      </c>
    </row>
    <row r="13" spans="1:149" x14ac:dyDescent="0.3">
      <c r="A13" s="2" t="s">
        <v>129</v>
      </c>
      <c r="B13">
        <v>43000</v>
      </c>
      <c r="D13" s="2" t="s">
        <v>129</v>
      </c>
      <c r="E13">
        <v>7.7268967999999993E-2</v>
      </c>
      <c r="G13" s="2" t="s">
        <v>129</v>
      </c>
      <c r="H13">
        <v>11000</v>
      </c>
      <c r="M13" s="2" t="s">
        <v>132</v>
      </c>
      <c r="N13">
        <v>4.7209279E-2</v>
      </c>
      <c r="O13">
        <v>56458.333333333336</v>
      </c>
      <c r="Q13" s="2" t="s">
        <v>57</v>
      </c>
      <c r="R13">
        <v>0.58635926739580513</v>
      </c>
      <c r="T13" s="2" t="s">
        <v>193</v>
      </c>
      <c r="U13">
        <v>0.89601898800000002</v>
      </c>
      <c r="W13" s="2" t="s">
        <v>126</v>
      </c>
      <c r="X13">
        <v>0.281936407</v>
      </c>
      <c r="Y13">
        <v>70000</v>
      </c>
      <c r="AA13" s="2" t="s">
        <v>126</v>
      </c>
      <c r="AB13">
        <v>0.281936407</v>
      </c>
      <c r="AD13" s="2" t="s">
        <v>69</v>
      </c>
      <c r="AK13">
        <v>0.64349155132886138</v>
      </c>
      <c r="BA13">
        <v>21000</v>
      </c>
      <c r="BQ13">
        <v>0.79891981700000003</v>
      </c>
      <c r="CG13">
        <v>0.66863865011865964</v>
      </c>
      <c r="CW13">
        <v>15000</v>
      </c>
      <c r="DM13">
        <v>40000</v>
      </c>
      <c r="EC13">
        <v>3.3356863E-2</v>
      </c>
      <c r="EM13">
        <v>0.64349155132886138</v>
      </c>
      <c r="EN13">
        <v>21000</v>
      </c>
      <c r="EO13">
        <v>0.79891981700000003</v>
      </c>
      <c r="EP13">
        <v>0.66863865011865964</v>
      </c>
      <c r="EQ13">
        <v>15000</v>
      </c>
      <c r="ER13">
        <v>40000</v>
      </c>
      <c r="ES13">
        <v>3.3356863E-2</v>
      </c>
    </row>
    <row r="14" spans="1:149" x14ac:dyDescent="0.3">
      <c r="A14" s="2" t="s">
        <v>105</v>
      </c>
      <c r="B14">
        <v>52800</v>
      </c>
      <c r="D14" s="2" t="s">
        <v>105</v>
      </c>
      <c r="E14">
        <v>6.7853562199999995E-2</v>
      </c>
      <c r="G14" s="2" t="s">
        <v>105</v>
      </c>
      <c r="H14">
        <v>22000</v>
      </c>
      <c r="M14" s="2" t="s">
        <v>41</v>
      </c>
      <c r="N14">
        <v>6.9428707399999998E-2</v>
      </c>
      <c r="O14">
        <v>46080</v>
      </c>
      <c r="Q14" s="2" t="s">
        <v>102</v>
      </c>
      <c r="R14">
        <v>0.60034952329866942</v>
      </c>
      <c r="T14" s="2" t="s">
        <v>146</v>
      </c>
      <c r="U14">
        <v>0.88129388900000005</v>
      </c>
      <c r="W14" s="2" t="s">
        <v>67</v>
      </c>
      <c r="X14">
        <v>0.36617687799999998</v>
      </c>
      <c r="Y14">
        <v>42000</v>
      </c>
      <c r="AA14" s="2" t="s">
        <v>67</v>
      </c>
      <c r="AB14">
        <v>0.36617687799999998</v>
      </c>
      <c r="AD14" s="2" t="s">
        <v>185</v>
      </c>
      <c r="AF14">
        <v>0.6282929981802412</v>
      </c>
      <c r="AV14">
        <v>33100</v>
      </c>
      <c r="BL14">
        <v>0.584776403</v>
      </c>
      <c r="CB14">
        <v>0.72584189215879913</v>
      </c>
      <c r="CR14">
        <v>12750</v>
      </c>
      <c r="DH14">
        <v>37600</v>
      </c>
      <c r="DX14">
        <v>8.3713827000000005E-2</v>
      </c>
      <c r="EM14">
        <v>0.6282929981802412</v>
      </c>
      <c r="EN14">
        <v>33100</v>
      </c>
      <c r="EO14">
        <v>0.584776403</v>
      </c>
      <c r="EP14">
        <v>0.72584189215879913</v>
      </c>
      <c r="EQ14">
        <v>12750</v>
      </c>
      <c r="ER14">
        <v>37600</v>
      </c>
      <c r="ES14">
        <v>8.3713827000000005E-2</v>
      </c>
    </row>
    <row r="15" spans="1:149" x14ac:dyDescent="0.3">
      <c r="A15" s="2" t="s">
        <v>141</v>
      </c>
      <c r="B15">
        <v>62400</v>
      </c>
      <c r="D15" s="2" t="s">
        <v>141</v>
      </c>
      <c r="E15">
        <v>5.4540616900000005E-2</v>
      </c>
      <c r="G15" s="2" t="s">
        <v>141</v>
      </c>
      <c r="H15">
        <v>24200</v>
      </c>
      <c r="M15" s="2" t="s">
        <v>56</v>
      </c>
      <c r="N15">
        <v>5.8545672285714279E-2</v>
      </c>
      <c r="O15">
        <v>52642.857142857145</v>
      </c>
      <c r="Q15" s="2" t="s">
        <v>103</v>
      </c>
      <c r="R15">
        <v>0.60090090986424172</v>
      </c>
      <c r="T15" s="2" t="s">
        <v>111</v>
      </c>
      <c r="U15">
        <v>0.87795992700000003</v>
      </c>
      <c r="W15" s="2" t="s">
        <v>32</v>
      </c>
      <c r="X15">
        <v>0.76442652799999999</v>
      </c>
      <c r="Y15">
        <v>63000</v>
      </c>
      <c r="AA15" s="2" t="s">
        <v>32</v>
      </c>
      <c r="AB15">
        <v>0.76442652799999999</v>
      </c>
      <c r="AD15" s="2" t="s">
        <v>126</v>
      </c>
      <c r="AJ15">
        <v>0.76924712888132707</v>
      </c>
      <c r="AZ15">
        <v>59000</v>
      </c>
      <c r="BP15">
        <v>0.281936407</v>
      </c>
      <c r="CF15">
        <v>0.75820366040474074</v>
      </c>
      <c r="CV15">
        <v>17000</v>
      </c>
      <c r="DL15">
        <v>70000</v>
      </c>
      <c r="EB15">
        <v>5.7054045999999997E-2</v>
      </c>
      <c r="EM15">
        <v>0.76924712888132707</v>
      </c>
      <c r="EN15">
        <v>59000</v>
      </c>
      <c r="EO15">
        <v>0.281936407</v>
      </c>
      <c r="EP15">
        <v>0.75820366040474074</v>
      </c>
      <c r="EQ15">
        <v>17000</v>
      </c>
      <c r="ER15">
        <v>70000</v>
      </c>
      <c r="ES15">
        <v>5.7054045999999997E-2</v>
      </c>
    </row>
    <row r="16" spans="1:149" x14ac:dyDescent="0.3">
      <c r="A16" s="2" t="s">
        <v>153</v>
      </c>
      <c r="B16">
        <v>44555.555555555555</v>
      </c>
      <c r="D16" s="2" t="s">
        <v>153</v>
      </c>
      <c r="E16">
        <v>7.7867016555555557E-2</v>
      </c>
      <c r="G16" s="2" t="s">
        <v>153</v>
      </c>
      <c r="H16">
        <v>16933.333333333332</v>
      </c>
      <c r="M16" s="2" t="s">
        <v>129</v>
      </c>
      <c r="N16">
        <v>7.7268967999999993E-2</v>
      </c>
      <c r="O16">
        <v>43000</v>
      </c>
      <c r="Q16" s="2" t="s">
        <v>100</v>
      </c>
      <c r="R16">
        <v>0.60240661820005015</v>
      </c>
      <c r="T16" s="2" t="s">
        <v>45</v>
      </c>
      <c r="U16">
        <v>0.87722752800000003</v>
      </c>
      <c r="W16" s="2" t="s">
        <v>172</v>
      </c>
      <c r="X16">
        <v>0.53233378799999997</v>
      </c>
      <c r="Y16">
        <v>47000</v>
      </c>
      <c r="AA16" s="2" t="s">
        <v>172</v>
      </c>
      <c r="AB16">
        <v>0.53233378799999997</v>
      </c>
      <c r="AD16" s="2" t="s">
        <v>67</v>
      </c>
      <c r="AK16">
        <v>0.66143601300428545</v>
      </c>
      <c r="BA16">
        <v>19000</v>
      </c>
      <c r="BQ16">
        <v>0.36617687799999998</v>
      </c>
      <c r="CG16">
        <v>0.72331300229141748</v>
      </c>
      <c r="CW16">
        <v>15000</v>
      </c>
      <c r="DM16">
        <v>42000</v>
      </c>
      <c r="EC16">
        <v>4.7144655000000001E-2</v>
      </c>
      <c r="EM16">
        <v>0.66143601300428545</v>
      </c>
      <c r="EN16">
        <v>19000</v>
      </c>
      <c r="EO16">
        <v>0.36617687799999998</v>
      </c>
      <c r="EP16">
        <v>0.72331300229141748</v>
      </c>
      <c r="EQ16">
        <v>15000</v>
      </c>
      <c r="ER16">
        <v>42000</v>
      </c>
      <c r="ES16">
        <v>4.7144655000000001E-2</v>
      </c>
    </row>
    <row r="17" spans="1:149" x14ac:dyDescent="0.3">
      <c r="A17" s="2" t="s">
        <v>136</v>
      </c>
      <c r="B17">
        <v>53222.222222222219</v>
      </c>
      <c r="D17" s="2" t="s">
        <v>136</v>
      </c>
      <c r="E17">
        <v>6.5685662333333339E-2</v>
      </c>
      <c r="G17" s="2" t="s">
        <v>136</v>
      </c>
      <c r="H17">
        <v>21555.555555555555</v>
      </c>
      <c r="M17" s="2" t="s">
        <v>105</v>
      </c>
      <c r="N17">
        <v>6.7853562199999995E-2</v>
      </c>
      <c r="O17">
        <v>52800</v>
      </c>
      <c r="Q17" s="2" t="s">
        <v>70</v>
      </c>
      <c r="R17">
        <v>0.61366805368017852</v>
      </c>
      <c r="T17" s="2" t="s">
        <v>47</v>
      </c>
      <c r="U17">
        <v>0.86445607899999999</v>
      </c>
      <c r="W17" s="2" t="s">
        <v>164</v>
      </c>
      <c r="X17">
        <v>0.81070414700000004</v>
      </c>
      <c r="Y17">
        <v>40000</v>
      </c>
      <c r="AA17" s="2" t="s">
        <v>164</v>
      </c>
      <c r="AB17">
        <v>0.81070414700000004</v>
      </c>
      <c r="AD17" s="2" t="s">
        <v>32</v>
      </c>
      <c r="AE17">
        <v>0.82054405196914337</v>
      </c>
      <c r="AU17">
        <v>48600</v>
      </c>
      <c r="BK17">
        <v>0.76442652799999999</v>
      </c>
      <c r="CA17">
        <v>0.74795019738839963</v>
      </c>
      <c r="CQ17">
        <v>0</v>
      </c>
      <c r="DG17">
        <v>63000</v>
      </c>
      <c r="DW17">
        <v>5.0867052000000003E-2</v>
      </c>
      <c r="EM17">
        <v>0.82054405196914337</v>
      </c>
      <c r="EN17">
        <v>48600</v>
      </c>
      <c r="EO17">
        <v>0.76442652799999999</v>
      </c>
      <c r="EP17">
        <v>0.74795019738839963</v>
      </c>
      <c r="EQ17">
        <v>0</v>
      </c>
      <c r="ER17">
        <v>63000</v>
      </c>
      <c r="ES17">
        <v>5.0867052000000003E-2</v>
      </c>
    </row>
    <row r="18" spans="1:149" x14ac:dyDescent="0.3">
      <c r="A18" s="2" t="s">
        <v>215</v>
      </c>
      <c r="B18">
        <v>56816.184971098264</v>
      </c>
      <c r="D18" s="2" t="s">
        <v>215</v>
      </c>
      <c r="E18">
        <v>5.7355453283236983E-2</v>
      </c>
      <c r="G18" s="2" t="s">
        <v>215</v>
      </c>
      <c r="H18">
        <v>18171.965317919075</v>
      </c>
      <c r="M18" s="2" t="s">
        <v>141</v>
      </c>
      <c r="N18">
        <v>5.4540616900000005E-2</v>
      </c>
      <c r="O18">
        <v>62400</v>
      </c>
      <c r="Q18" s="2" t="s">
        <v>68</v>
      </c>
      <c r="R18">
        <v>0.62024688636614134</v>
      </c>
      <c r="T18" s="2" t="s">
        <v>134</v>
      </c>
      <c r="U18">
        <v>0.85452322700000005</v>
      </c>
      <c r="W18" s="2" t="s">
        <v>68</v>
      </c>
      <c r="X18">
        <v>0.73396758299999998</v>
      </c>
      <c r="Y18">
        <v>45000</v>
      </c>
      <c r="AA18" s="2" t="s">
        <v>68</v>
      </c>
      <c r="AB18">
        <v>0.73396758299999998</v>
      </c>
      <c r="AD18" s="2" t="s">
        <v>172</v>
      </c>
      <c r="AT18">
        <v>0.73287032802379926</v>
      </c>
      <c r="BJ18">
        <v>37000</v>
      </c>
      <c r="BZ18">
        <v>0.53233378799999997</v>
      </c>
      <c r="CP18">
        <v>0.68070351252227379</v>
      </c>
      <c r="DF18">
        <v>15000</v>
      </c>
      <c r="DV18">
        <v>47000</v>
      </c>
      <c r="EL18">
        <v>6.5804303999999994E-2</v>
      </c>
      <c r="EM18">
        <v>0.73287032802379926</v>
      </c>
      <c r="EN18">
        <v>37000</v>
      </c>
      <c r="EO18">
        <v>0.53233378799999997</v>
      </c>
      <c r="EP18">
        <v>0.68070351252227379</v>
      </c>
      <c r="EQ18">
        <v>15000</v>
      </c>
      <c r="ER18">
        <v>47000</v>
      </c>
      <c r="ES18">
        <v>6.5804303999999994E-2</v>
      </c>
    </row>
    <row r="19" spans="1:149" x14ac:dyDescent="0.3">
      <c r="M19" s="2" t="s">
        <v>153</v>
      </c>
      <c r="N19">
        <v>7.7867016555555557E-2</v>
      </c>
      <c r="O19">
        <v>44555.555555555555</v>
      </c>
      <c r="Q19" s="2" t="s">
        <v>60</v>
      </c>
      <c r="R19">
        <v>0.62270450751252082</v>
      </c>
      <c r="T19" s="2" t="s">
        <v>184</v>
      </c>
      <c r="U19">
        <v>0.84593437900000001</v>
      </c>
      <c r="W19" s="2" t="s">
        <v>158</v>
      </c>
      <c r="X19">
        <v>0.74756092600000001</v>
      </c>
      <c r="Y19">
        <v>47000</v>
      </c>
      <c r="AA19" s="2" t="s">
        <v>158</v>
      </c>
      <c r="AB19">
        <v>0.74756092600000001</v>
      </c>
      <c r="AD19" s="2" t="s">
        <v>164</v>
      </c>
      <c r="AS19">
        <v>0.72871544021929879</v>
      </c>
      <c r="BI19">
        <v>23000</v>
      </c>
      <c r="BY19">
        <v>0.81070414700000004</v>
      </c>
      <c r="CO19">
        <v>0.70522272318533163</v>
      </c>
      <c r="DE19">
        <v>13000</v>
      </c>
      <c r="DU19">
        <v>40000</v>
      </c>
      <c r="EK19">
        <v>5.9375901000000002E-2</v>
      </c>
      <c r="EM19">
        <v>0.72871544021929879</v>
      </c>
      <c r="EN19">
        <v>23000</v>
      </c>
      <c r="EO19">
        <v>0.81070414700000004</v>
      </c>
      <c r="EP19">
        <v>0.70522272318533163</v>
      </c>
      <c r="EQ19">
        <v>13000</v>
      </c>
      <c r="ER19">
        <v>40000</v>
      </c>
      <c r="ES19">
        <v>5.9375901000000002E-2</v>
      </c>
    </row>
    <row r="20" spans="1:149" x14ac:dyDescent="0.3">
      <c r="A20" s="1" t="s">
        <v>2</v>
      </c>
      <c r="B20" t="s">
        <v>216</v>
      </c>
      <c r="D20" s="1" t="s">
        <v>2</v>
      </c>
      <c r="E20" t="s">
        <v>216</v>
      </c>
      <c r="G20" s="1" t="s">
        <v>2</v>
      </c>
      <c r="H20" t="s">
        <v>216</v>
      </c>
      <c r="I20" t="s">
        <v>217</v>
      </c>
      <c r="M20" s="2" t="s">
        <v>136</v>
      </c>
      <c r="N20">
        <v>6.5685662333333339E-2</v>
      </c>
      <c r="O20">
        <v>53222.222222222219</v>
      </c>
      <c r="Q20" s="2" t="s">
        <v>154</v>
      </c>
      <c r="R20">
        <v>0.62324620753507587</v>
      </c>
      <c r="T20" s="2" t="s">
        <v>154</v>
      </c>
      <c r="U20">
        <v>0.81709880899999998</v>
      </c>
      <c r="W20" s="2" t="s">
        <v>66</v>
      </c>
      <c r="X20">
        <v>0.60175182500000002</v>
      </c>
      <c r="Y20">
        <v>45000</v>
      </c>
      <c r="AA20" s="2" t="s">
        <v>66</v>
      </c>
      <c r="AB20">
        <v>0.60175182500000002</v>
      </c>
      <c r="AD20" s="2" t="s">
        <v>68</v>
      </c>
      <c r="AK20">
        <v>0.6553531763660595</v>
      </c>
      <c r="BA20">
        <v>31000</v>
      </c>
      <c r="BQ20">
        <v>0.73396758299999998</v>
      </c>
      <c r="CG20">
        <v>0.62024688636614134</v>
      </c>
      <c r="CW20">
        <v>13000</v>
      </c>
      <c r="DM20">
        <v>45000</v>
      </c>
      <c r="EC20">
        <v>4.6013198999999998E-2</v>
      </c>
      <c r="EM20">
        <v>0.6553531763660595</v>
      </c>
      <c r="EN20">
        <v>31000</v>
      </c>
      <c r="EO20">
        <v>0.73396758299999998</v>
      </c>
      <c r="EP20">
        <v>0.62024688636614134</v>
      </c>
      <c r="EQ20">
        <v>13000</v>
      </c>
      <c r="ER20">
        <v>45000</v>
      </c>
      <c r="ES20">
        <v>4.6013198999999998E-2</v>
      </c>
    </row>
    <row r="21" spans="1:149" x14ac:dyDescent="0.3">
      <c r="A21" s="2" t="s">
        <v>92</v>
      </c>
      <c r="B21">
        <v>125000</v>
      </c>
      <c r="D21" s="2" t="s">
        <v>122</v>
      </c>
      <c r="E21">
        <v>35000</v>
      </c>
      <c r="G21" s="2" t="s">
        <v>122</v>
      </c>
      <c r="H21">
        <v>35000</v>
      </c>
      <c r="I21">
        <v>6.8897637999999997E-2</v>
      </c>
      <c r="M21" s="2" t="s">
        <v>215</v>
      </c>
      <c r="N21">
        <v>5.7355453283236983E-2</v>
      </c>
      <c r="O21">
        <v>56816.184971098264</v>
      </c>
      <c r="Q21" s="2" t="s">
        <v>165</v>
      </c>
      <c r="R21">
        <v>0.62942141752314251</v>
      </c>
      <c r="T21" s="2" t="s">
        <v>57</v>
      </c>
      <c r="U21">
        <v>0.812876606</v>
      </c>
      <c r="W21" s="2" t="s">
        <v>65</v>
      </c>
      <c r="X21">
        <v>0.423208896</v>
      </c>
      <c r="Y21">
        <v>46000</v>
      </c>
      <c r="AA21" s="2" t="s">
        <v>65</v>
      </c>
      <c r="AB21">
        <v>0.423208896</v>
      </c>
      <c r="AD21" s="2" t="s">
        <v>158</v>
      </c>
      <c r="AS21">
        <v>0.75772074815137014</v>
      </c>
      <c r="BI21">
        <v>35000</v>
      </c>
      <c r="BY21">
        <v>0.74756092600000001</v>
      </c>
      <c r="CO21">
        <v>0.63444025388648695</v>
      </c>
      <c r="DE21">
        <v>22000</v>
      </c>
      <c r="DU21">
        <v>47000</v>
      </c>
      <c r="EK21">
        <v>8.7336245000000007E-2</v>
      </c>
      <c r="EM21">
        <v>0.75772074815137014</v>
      </c>
      <c r="EN21">
        <v>35000</v>
      </c>
      <c r="EO21">
        <v>0.74756092600000001</v>
      </c>
      <c r="EP21">
        <v>0.63444025388648695</v>
      </c>
      <c r="EQ21">
        <v>22000</v>
      </c>
      <c r="ER21">
        <v>47000</v>
      </c>
      <c r="ES21">
        <v>8.7336245000000007E-2</v>
      </c>
    </row>
    <row r="22" spans="1:149" x14ac:dyDescent="0.3">
      <c r="A22" s="2" t="s">
        <v>194</v>
      </c>
      <c r="B22">
        <v>106000</v>
      </c>
      <c r="D22" s="2" t="s">
        <v>64</v>
      </c>
      <c r="E22">
        <v>35300</v>
      </c>
      <c r="G22" s="2" t="s">
        <v>64</v>
      </c>
      <c r="H22">
        <v>35300</v>
      </c>
      <c r="I22">
        <v>4.9350649000000003E-2</v>
      </c>
      <c r="J22" s="1" t="s">
        <v>214</v>
      </c>
      <c r="K22" t="s">
        <v>237</v>
      </c>
      <c r="Q22" s="2" t="s">
        <v>158</v>
      </c>
      <c r="R22">
        <v>0.63444025388648695</v>
      </c>
      <c r="T22" s="2" t="s">
        <v>164</v>
      </c>
      <c r="U22">
        <v>0.81070414700000004</v>
      </c>
      <c r="W22" s="2" t="s">
        <v>60</v>
      </c>
      <c r="X22">
        <v>0.56486557000000004</v>
      </c>
      <c r="Y22">
        <v>41000</v>
      </c>
      <c r="AA22" s="2" t="s">
        <v>60</v>
      </c>
      <c r="AB22">
        <v>0.56486557000000004</v>
      </c>
      <c r="AD22" s="2" t="s">
        <v>66</v>
      </c>
      <c r="AK22">
        <v>0.68669199759047306</v>
      </c>
      <c r="BA22">
        <v>26000</v>
      </c>
      <c r="BQ22">
        <v>0.60175182500000002</v>
      </c>
      <c r="CG22">
        <v>0.57738716322872352</v>
      </c>
      <c r="CW22">
        <v>16000</v>
      </c>
      <c r="DM22">
        <v>45000</v>
      </c>
      <c r="EC22">
        <v>4.3755677E-2</v>
      </c>
      <c r="EM22">
        <v>0.68669199759047306</v>
      </c>
      <c r="EN22">
        <v>26000</v>
      </c>
      <c r="EO22">
        <v>0.60175182500000002</v>
      </c>
      <c r="EP22">
        <v>0.57738716322872352</v>
      </c>
      <c r="EQ22">
        <v>16000</v>
      </c>
      <c r="ER22">
        <v>45000</v>
      </c>
      <c r="ES22">
        <v>4.3755677E-2</v>
      </c>
    </row>
    <row r="23" spans="1:149" x14ac:dyDescent="0.3">
      <c r="A23" s="2" t="s">
        <v>90</v>
      </c>
      <c r="B23">
        <v>97000</v>
      </c>
      <c r="D23" s="2" t="s">
        <v>185</v>
      </c>
      <c r="E23">
        <v>37600</v>
      </c>
      <c r="G23" s="2" t="s">
        <v>185</v>
      </c>
      <c r="H23">
        <v>37600</v>
      </c>
      <c r="I23">
        <v>8.3713827000000005E-2</v>
      </c>
      <c r="J23" s="2">
        <v>47000</v>
      </c>
      <c r="K23">
        <v>41600</v>
      </c>
      <c r="M23" s="1" t="s">
        <v>2</v>
      </c>
      <c r="N23" t="s">
        <v>218</v>
      </c>
      <c r="Q23" s="2" t="s">
        <v>65</v>
      </c>
      <c r="R23">
        <v>0.64139384174088565</v>
      </c>
      <c r="T23" s="2" t="s">
        <v>155</v>
      </c>
      <c r="U23">
        <v>0.79985905599999996</v>
      </c>
      <c r="W23" s="2" t="s">
        <v>162</v>
      </c>
      <c r="X23">
        <v>0.251388889</v>
      </c>
      <c r="Y23">
        <v>60000</v>
      </c>
      <c r="AA23" s="2" t="s">
        <v>162</v>
      </c>
      <c r="AB23">
        <v>0.251388889</v>
      </c>
      <c r="AD23" s="2" t="s">
        <v>65</v>
      </c>
      <c r="AK23">
        <v>0.68509827738515905</v>
      </c>
      <c r="BA23">
        <v>26000</v>
      </c>
      <c r="BQ23">
        <v>0.423208896</v>
      </c>
      <c r="CG23">
        <v>0.64139384174088565</v>
      </c>
      <c r="CW23">
        <v>14000</v>
      </c>
      <c r="DM23">
        <v>46000</v>
      </c>
      <c r="EC23">
        <v>4.2199894000000002E-2</v>
      </c>
      <c r="EM23">
        <v>0.68509827738515905</v>
      </c>
      <c r="EN23">
        <v>26000</v>
      </c>
      <c r="EO23">
        <v>0.423208896</v>
      </c>
      <c r="EP23">
        <v>0.64139384174088565</v>
      </c>
      <c r="EQ23">
        <v>14000</v>
      </c>
      <c r="ER23">
        <v>46000</v>
      </c>
      <c r="ES23">
        <v>4.2199894000000002E-2</v>
      </c>
    </row>
    <row r="24" spans="1:149" x14ac:dyDescent="0.3">
      <c r="A24" s="2" t="s">
        <v>88</v>
      </c>
      <c r="B24">
        <v>96000</v>
      </c>
      <c r="D24" s="2" t="s">
        <v>163</v>
      </c>
      <c r="E24">
        <v>38000</v>
      </c>
      <c r="G24" s="2" t="s">
        <v>163</v>
      </c>
      <c r="H24">
        <v>38000</v>
      </c>
      <c r="I24">
        <v>7.2421293999999997E-2</v>
      </c>
      <c r="J24" s="2">
        <v>48000</v>
      </c>
      <c r="K24">
        <v>40000</v>
      </c>
      <c r="M24" s="2" t="s">
        <v>192</v>
      </c>
      <c r="N24">
        <v>84000</v>
      </c>
      <c r="Q24" s="2" t="s">
        <v>144</v>
      </c>
      <c r="R24">
        <v>0.64297122007907503</v>
      </c>
      <c r="T24" s="2" t="s">
        <v>69</v>
      </c>
      <c r="U24">
        <v>0.79891981700000003</v>
      </c>
      <c r="W24" s="2" t="s">
        <v>161</v>
      </c>
      <c r="X24">
        <v>0.47646118300000001</v>
      </c>
      <c r="Y24">
        <v>56000</v>
      </c>
      <c r="AA24" s="2" t="s">
        <v>161</v>
      </c>
      <c r="AB24">
        <v>0.47646118300000001</v>
      </c>
      <c r="AD24" s="2" t="s">
        <v>60</v>
      </c>
      <c r="AK24">
        <v>0.73257372654155495</v>
      </c>
      <c r="BA24">
        <v>16800</v>
      </c>
      <c r="BQ24">
        <v>0.56486557000000004</v>
      </c>
      <c r="CG24">
        <v>0.62270450751252082</v>
      </c>
      <c r="CW24">
        <v>14000</v>
      </c>
      <c r="DM24">
        <v>41000</v>
      </c>
      <c r="EC24">
        <v>0.101745936</v>
      </c>
      <c r="EM24">
        <v>0.73257372654155495</v>
      </c>
      <c r="EN24">
        <v>16800</v>
      </c>
      <c r="EO24">
        <v>0.56486557000000004</v>
      </c>
      <c r="EP24">
        <v>0.62270450751252082</v>
      </c>
      <c r="EQ24">
        <v>14000</v>
      </c>
      <c r="ER24">
        <v>41000</v>
      </c>
      <c r="ES24">
        <v>0.101745936</v>
      </c>
    </row>
    <row r="25" spans="1:149" x14ac:dyDescent="0.3">
      <c r="A25" s="2" t="s">
        <v>91</v>
      </c>
      <c r="B25">
        <v>95000</v>
      </c>
      <c r="D25" s="2" t="s">
        <v>156</v>
      </c>
      <c r="E25">
        <v>39000</v>
      </c>
      <c r="G25" s="2" t="s">
        <v>156</v>
      </c>
      <c r="H25">
        <v>39000</v>
      </c>
      <c r="I25">
        <v>6.8021390000000001E-2</v>
      </c>
      <c r="J25" s="2">
        <v>50000</v>
      </c>
      <c r="K25">
        <v>38500</v>
      </c>
      <c r="M25" s="2" t="s">
        <v>121</v>
      </c>
      <c r="N25">
        <v>55000</v>
      </c>
      <c r="Q25" s="2" t="s">
        <v>121</v>
      </c>
      <c r="R25">
        <v>0.64471522700604744</v>
      </c>
      <c r="T25" s="2" t="s">
        <v>156</v>
      </c>
      <c r="U25">
        <v>0.79874621700000004</v>
      </c>
      <c r="W25" s="2" t="s">
        <v>152</v>
      </c>
      <c r="X25">
        <v>0.77993320399999999</v>
      </c>
      <c r="Y25">
        <v>45000</v>
      </c>
      <c r="AA25" s="2" t="s">
        <v>152</v>
      </c>
      <c r="AB25">
        <v>0.77993320399999999</v>
      </c>
      <c r="AD25" s="2" t="s">
        <v>162</v>
      </c>
      <c r="AQ25">
        <v>0.73526509374719651</v>
      </c>
      <c r="BG25">
        <v>52000</v>
      </c>
      <c r="BW25">
        <v>0.251388889</v>
      </c>
      <c r="CM25">
        <v>0.75409281558652419</v>
      </c>
      <c r="DC25">
        <v>26000</v>
      </c>
      <c r="DS25">
        <v>60000</v>
      </c>
      <c r="EI25">
        <v>7.9216916999999998E-2</v>
      </c>
      <c r="EM25">
        <v>0.73526509374719651</v>
      </c>
      <c r="EN25">
        <v>52000</v>
      </c>
      <c r="EO25">
        <v>0.251388889</v>
      </c>
      <c r="EP25">
        <v>0.75409281558652419</v>
      </c>
      <c r="EQ25">
        <v>26000</v>
      </c>
      <c r="ER25">
        <v>60000</v>
      </c>
      <c r="ES25">
        <v>7.9216916999999998E-2</v>
      </c>
    </row>
    <row r="26" spans="1:149" x14ac:dyDescent="0.3">
      <c r="A26" s="2" t="s">
        <v>133</v>
      </c>
      <c r="B26">
        <v>92000</v>
      </c>
      <c r="D26" s="2" t="s">
        <v>61</v>
      </c>
      <c r="E26">
        <v>40000</v>
      </c>
      <c r="G26" s="2" t="s">
        <v>61</v>
      </c>
      <c r="H26">
        <v>40000</v>
      </c>
      <c r="I26">
        <v>3.8359164000000001E-2</v>
      </c>
      <c r="J26" s="2">
        <v>50100</v>
      </c>
      <c r="K26">
        <v>38700</v>
      </c>
      <c r="M26" s="2" t="s">
        <v>113</v>
      </c>
      <c r="N26">
        <v>41000</v>
      </c>
      <c r="Q26" s="2" t="s">
        <v>107</v>
      </c>
      <c r="R26">
        <v>0.645231816953034</v>
      </c>
      <c r="T26" s="2" t="s">
        <v>62</v>
      </c>
      <c r="U26">
        <v>0.79209526200000002</v>
      </c>
      <c r="W26" s="2" t="s">
        <v>106</v>
      </c>
      <c r="X26">
        <v>0.59100101100000002</v>
      </c>
      <c r="Y26">
        <v>48000</v>
      </c>
      <c r="AA26" s="2" t="s">
        <v>106</v>
      </c>
      <c r="AB26">
        <v>0.59100101100000002</v>
      </c>
      <c r="AD26" s="2" t="s">
        <v>161</v>
      </c>
      <c r="AQ26">
        <v>0.82531217825180181</v>
      </c>
      <c r="BG26">
        <v>45000</v>
      </c>
      <c r="BW26">
        <v>0.47646118300000001</v>
      </c>
      <c r="CM26">
        <v>0.6932974595504795</v>
      </c>
      <c r="DC26">
        <v>17000</v>
      </c>
      <c r="DS26">
        <v>56000</v>
      </c>
      <c r="EI26">
        <v>6.9654917999999996E-2</v>
      </c>
      <c r="EM26">
        <v>0.82531217825180181</v>
      </c>
      <c r="EN26">
        <v>45000</v>
      </c>
      <c r="EO26">
        <v>0.47646118300000001</v>
      </c>
      <c r="EP26">
        <v>0.6932974595504795</v>
      </c>
      <c r="EQ26">
        <v>17000</v>
      </c>
      <c r="ER26">
        <v>56000</v>
      </c>
      <c r="ES26">
        <v>6.9654917999999996E-2</v>
      </c>
    </row>
    <row r="27" spans="1:149" x14ac:dyDescent="0.3">
      <c r="A27" s="2" t="s">
        <v>89</v>
      </c>
      <c r="B27">
        <v>92000</v>
      </c>
      <c r="D27" s="2" t="s">
        <v>181</v>
      </c>
      <c r="E27">
        <v>40000</v>
      </c>
      <c r="G27" s="2" t="s">
        <v>181</v>
      </c>
      <c r="H27">
        <v>40000</v>
      </c>
      <c r="I27">
        <v>9.4658002000000005E-2</v>
      </c>
      <c r="J27" s="2">
        <v>50750</v>
      </c>
      <c r="K27">
        <v>38000</v>
      </c>
      <c r="M27" s="2" t="s">
        <v>112</v>
      </c>
      <c r="N27">
        <v>41000</v>
      </c>
      <c r="Q27" s="2" t="s">
        <v>110</v>
      </c>
      <c r="R27">
        <v>0.6488914869663116</v>
      </c>
      <c r="T27" s="2" t="s">
        <v>152</v>
      </c>
      <c r="U27">
        <v>0.77993320399999999</v>
      </c>
      <c r="W27" s="2" t="s">
        <v>171</v>
      </c>
      <c r="X27">
        <v>0.48592987700000001</v>
      </c>
      <c r="Y27">
        <v>58000</v>
      </c>
      <c r="AA27" s="2" t="s">
        <v>171</v>
      </c>
      <c r="AB27">
        <v>0.48592987700000001</v>
      </c>
      <c r="AD27" s="2" t="s">
        <v>152</v>
      </c>
      <c r="AS27">
        <v>0.69783985285844441</v>
      </c>
      <c r="BI27">
        <v>37000</v>
      </c>
      <c r="BY27">
        <v>0.77993320399999999</v>
      </c>
      <c r="CO27">
        <v>0.71145595741455114</v>
      </c>
      <c r="DE27">
        <v>18000</v>
      </c>
      <c r="DU27">
        <v>45000</v>
      </c>
      <c r="EK27">
        <v>6.9666584000000004E-2</v>
      </c>
      <c r="EM27">
        <v>0.69783985285844441</v>
      </c>
      <c r="EN27">
        <v>37000</v>
      </c>
      <c r="EO27">
        <v>0.77993320399999999</v>
      </c>
      <c r="EP27">
        <v>0.71145595741455114</v>
      </c>
      <c r="EQ27">
        <v>18000</v>
      </c>
      <c r="ER27">
        <v>45000</v>
      </c>
      <c r="ES27">
        <v>6.9666584000000004E-2</v>
      </c>
    </row>
    <row r="28" spans="1:149" x14ac:dyDescent="0.3">
      <c r="A28" s="2" t="s">
        <v>81</v>
      </c>
      <c r="B28">
        <v>88000</v>
      </c>
      <c r="D28" s="2" t="s">
        <v>111</v>
      </c>
      <c r="E28">
        <v>40000</v>
      </c>
      <c r="G28" s="2" t="s">
        <v>111</v>
      </c>
      <c r="H28">
        <v>40000</v>
      </c>
      <c r="I28">
        <v>9.4842992000000001E-2</v>
      </c>
      <c r="J28" s="2">
        <v>52000</v>
      </c>
      <c r="K28">
        <v>40000</v>
      </c>
      <c r="M28" s="2" t="s">
        <v>144</v>
      </c>
      <c r="N28">
        <v>40000</v>
      </c>
      <c r="Q28" s="2" t="s">
        <v>124</v>
      </c>
      <c r="R28">
        <v>0.64902519835676953</v>
      </c>
      <c r="T28" s="2" t="s">
        <v>187</v>
      </c>
      <c r="U28">
        <v>0.77457662400000005</v>
      </c>
      <c r="W28" s="2" t="s">
        <v>31</v>
      </c>
      <c r="X28">
        <v>0.606888545</v>
      </c>
      <c r="Y28">
        <v>50000</v>
      </c>
      <c r="AA28" s="2" t="s">
        <v>31</v>
      </c>
      <c r="AB28">
        <v>0.606888545</v>
      </c>
      <c r="AD28" s="2" t="s">
        <v>106</v>
      </c>
      <c r="AQ28">
        <v>0.75628819099047895</v>
      </c>
      <c r="BG28">
        <v>36000</v>
      </c>
      <c r="BW28">
        <v>0.59100101100000002</v>
      </c>
      <c r="CM28">
        <v>0.73480316839954052</v>
      </c>
      <c r="DC28">
        <v>26000</v>
      </c>
      <c r="DS28">
        <v>48000</v>
      </c>
      <c r="EI28">
        <v>6.9847803999999999E-2</v>
      </c>
      <c r="EM28">
        <v>0.75628819099047895</v>
      </c>
      <c r="EN28">
        <v>36000</v>
      </c>
      <c r="EO28">
        <v>0.59100101100000002</v>
      </c>
      <c r="EP28">
        <v>0.73480316839954052</v>
      </c>
      <c r="EQ28">
        <v>26000</v>
      </c>
      <c r="ER28">
        <v>48000</v>
      </c>
      <c r="ES28">
        <v>6.9847803999999999E-2</v>
      </c>
    </row>
    <row r="29" spans="1:149" x14ac:dyDescent="0.3">
      <c r="A29" s="2" t="s">
        <v>78</v>
      </c>
      <c r="B29">
        <v>86000</v>
      </c>
      <c r="D29" s="2" t="s">
        <v>139</v>
      </c>
      <c r="E29">
        <v>40000</v>
      </c>
      <c r="G29" s="2" t="s">
        <v>139</v>
      </c>
      <c r="H29">
        <v>40000</v>
      </c>
      <c r="I29">
        <v>4.2505111999999998E-2</v>
      </c>
      <c r="J29" s="2">
        <v>53000</v>
      </c>
      <c r="K29">
        <v>40000</v>
      </c>
      <c r="M29" s="2" t="s">
        <v>120</v>
      </c>
      <c r="N29">
        <v>40000</v>
      </c>
      <c r="Q29" s="2" t="s">
        <v>101</v>
      </c>
      <c r="R29">
        <v>0.65013412766245526</v>
      </c>
      <c r="T29" s="2" t="s">
        <v>189</v>
      </c>
      <c r="U29">
        <v>0.77090110599999995</v>
      </c>
      <c r="W29" s="2" t="s">
        <v>120</v>
      </c>
      <c r="X29">
        <v>0.90667733699999997</v>
      </c>
      <c r="Y29">
        <v>50000</v>
      </c>
      <c r="AA29" s="2" t="s">
        <v>120</v>
      </c>
      <c r="AB29">
        <v>0.90667733699999997</v>
      </c>
      <c r="AD29" s="2" t="s">
        <v>171</v>
      </c>
      <c r="AT29">
        <v>0.77868840352269997</v>
      </c>
      <c r="BJ29">
        <v>52000</v>
      </c>
      <c r="BZ29">
        <v>0.48592987700000001</v>
      </c>
      <c r="CP29">
        <v>0.7231799998931846</v>
      </c>
      <c r="DF29">
        <v>32000</v>
      </c>
      <c r="DV29">
        <v>58000</v>
      </c>
      <c r="EL29">
        <v>6.9373854999999998E-2</v>
      </c>
      <c r="EM29">
        <v>0.77868840352269997</v>
      </c>
      <c r="EN29">
        <v>52000</v>
      </c>
      <c r="EO29">
        <v>0.48592987700000001</v>
      </c>
      <c r="EP29">
        <v>0.7231799998931846</v>
      </c>
      <c r="EQ29">
        <v>32000</v>
      </c>
      <c r="ER29">
        <v>58000</v>
      </c>
      <c r="ES29">
        <v>6.9373854999999998E-2</v>
      </c>
    </row>
    <row r="30" spans="1:149" x14ac:dyDescent="0.3">
      <c r="A30" s="2" t="s">
        <v>84</v>
      </c>
      <c r="B30">
        <v>85000</v>
      </c>
      <c r="D30" s="2" t="s">
        <v>55</v>
      </c>
      <c r="E30">
        <v>40000</v>
      </c>
      <c r="G30" s="2" t="s">
        <v>55</v>
      </c>
      <c r="H30">
        <v>40000</v>
      </c>
      <c r="I30">
        <v>5.4940700000000002E-2</v>
      </c>
      <c r="J30" s="2">
        <v>54000</v>
      </c>
      <c r="K30">
        <v>55000</v>
      </c>
      <c r="M30" s="2" t="s">
        <v>134</v>
      </c>
      <c r="N30">
        <v>40000</v>
      </c>
      <c r="Q30" s="2" t="s">
        <v>114</v>
      </c>
      <c r="R30">
        <v>0.65680933852140078</v>
      </c>
      <c r="T30" s="2" t="s">
        <v>32</v>
      </c>
      <c r="U30">
        <v>0.76442652799999999</v>
      </c>
      <c r="W30" s="2" t="s">
        <v>148</v>
      </c>
      <c r="X30">
        <v>0.44809867799999997</v>
      </c>
      <c r="Y30">
        <v>70000</v>
      </c>
      <c r="AA30" s="2" t="s">
        <v>148</v>
      </c>
      <c r="AB30">
        <v>0.44809867799999997</v>
      </c>
      <c r="AD30" s="2" t="s">
        <v>31</v>
      </c>
      <c r="AE30">
        <v>0.81019304284377325</v>
      </c>
      <c r="AU30">
        <v>40000</v>
      </c>
      <c r="BK30">
        <v>0.606888545</v>
      </c>
      <c r="CA30">
        <v>0.79390245438174512</v>
      </c>
      <c r="CQ30">
        <v>17000</v>
      </c>
      <c r="DG30">
        <v>50000</v>
      </c>
      <c r="DW30">
        <v>3.1790886999999997E-2</v>
      </c>
      <c r="EM30">
        <v>0.81019304284377325</v>
      </c>
      <c r="EN30">
        <v>40000</v>
      </c>
      <c r="EO30">
        <v>0.606888545</v>
      </c>
      <c r="EP30">
        <v>0.79390245438174512</v>
      </c>
      <c r="EQ30">
        <v>17000</v>
      </c>
      <c r="ER30">
        <v>50000</v>
      </c>
      <c r="ES30">
        <v>3.1790886999999997E-2</v>
      </c>
    </row>
    <row r="31" spans="1:149" x14ac:dyDescent="0.3">
      <c r="A31" s="2" t="s">
        <v>87</v>
      </c>
      <c r="B31">
        <v>80000</v>
      </c>
      <c r="D31" s="2" t="s">
        <v>69</v>
      </c>
      <c r="E31">
        <v>40000</v>
      </c>
      <c r="G31" s="2" t="s">
        <v>69</v>
      </c>
      <c r="H31">
        <v>40000</v>
      </c>
      <c r="I31">
        <v>3.3356863E-2</v>
      </c>
      <c r="J31" s="2">
        <v>55000</v>
      </c>
      <c r="K31">
        <v>42500</v>
      </c>
      <c r="M31" s="2" t="s">
        <v>119</v>
      </c>
      <c r="N31">
        <v>39000</v>
      </c>
      <c r="Q31" s="2" t="s">
        <v>122</v>
      </c>
      <c r="R31">
        <v>0.65713658964609534</v>
      </c>
      <c r="T31" s="2" t="s">
        <v>100</v>
      </c>
      <c r="U31">
        <v>0.76432029000000001</v>
      </c>
      <c r="W31" s="2" t="s">
        <v>140</v>
      </c>
      <c r="X31">
        <v>0.42692372000000001</v>
      </c>
      <c r="Y31">
        <v>60000</v>
      </c>
      <c r="AA31" s="2" t="s">
        <v>140</v>
      </c>
      <c r="AB31">
        <v>0.42692372000000001</v>
      </c>
      <c r="AD31" s="2" t="s">
        <v>120</v>
      </c>
      <c r="AG31">
        <v>0.64365802382620885</v>
      </c>
      <c r="AW31">
        <v>45000</v>
      </c>
      <c r="BM31">
        <v>0.90667733699999997</v>
      </c>
      <c r="CC31">
        <v>0.71375954892688254</v>
      </c>
      <c r="CS31">
        <v>40000</v>
      </c>
      <c r="DI31">
        <v>50000</v>
      </c>
      <c r="DY31">
        <v>5.1139455E-2</v>
      </c>
      <c r="EM31">
        <v>0.64365802382620885</v>
      </c>
      <c r="EN31">
        <v>45000</v>
      </c>
      <c r="EO31">
        <v>0.90667733699999997</v>
      </c>
      <c r="EP31">
        <v>0.71375954892688254</v>
      </c>
      <c r="EQ31">
        <v>40000</v>
      </c>
      <c r="ER31">
        <v>50000</v>
      </c>
      <c r="ES31">
        <v>5.1139455E-2</v>
      </c>
    </row>
    <row r="32" spans="1:149" x14ac:dyDescent="0.3">
      <c r="A32" s="2" t="s">
        <v>142</v>
      </c>
      <c r="B32">
        <v>80000</v>
      </c>
      <c r="D32" s="2" t="s">
        <v>164</v>
      </c>
      <c r="E32">
        <v>40000</v>
      </c>
      <c r="G32" s="2" t="s">
        <v>164</v>
      </c>
      <c r="H32">
        <v>40000</v>
      </c>
      <c r="I32">
        <v>5.9375901000000002E-2</v>
      </c>
      <c r="J32" s="2">
        <v>56000</v>
      </c>
      <c r="K32">
        <v>42000</v>
      </c>
      <c r="M32" s="2" t="s">
        <v>115</v>
      </c>
      <c r="N32">
        <v>35000</v>
      </c>
      <c r="Q32" s="2" t="s">
        <v>84</v>
      </c>
      <c r="R32">
        <v>0.65772669220945079</v>
      </c>
      <c r="T32" s="2" t="s">
        <v>40</v>
      </c>
      <c r="U32">
        <v>0.75806026900000001</v>
      </c>
      <c r="W32" s="2" t="s">
        <v>137</v>
      </c>
      <c r="X32">
        <v>0.68394261899999997</v>
      </c>
      <c r="Y32">
        <v>44000</v>
      </c>
      <c r="AA32" s="2" t="s">
        <v>137</v>
      </c>
      <c r="AB32">
        <v>0.68394261899999997</v>
      </c>
      <c r="AD32" s="2" t="s">
        <v>148</v>
      </c>
      <c r="AR32">
        <v>0.75265170736537246</v>
      </c>
      <c r="BH32">
        <v>70000</v>
      </c>
      <c r="BX32">
        <v>0.44809867799999997</v>
      </c>
      <c r="CN32">
        <v>0.65892187245147615</v>
      </c>
      <c r="DD32">
        <v>26000</v>
      </c>
      <c r="DT32">
        <v>70000</v>
      </c>
      <c r="EJ32">
        <v>5.2090055000000003E-2</v>
      </c>
      <c r="EM32">
        <v>0.75265170736537246</v>
      </c>
      <c r="EN32">
        <v>70000</v>
      </c>
      <c r="EO32">
        <v>0.44809867799999997</v>
      </c>
      <c r="EP32">
        <v>0.65892187245147615</v>
      </c>
      <c r="EQ32">
        <v>26000</v>
      </c>
      <c r="ER32">
        <v>70000</v>
      </c>
      <c r="ES32">
        <v>5.2090055000000003E-2</v>
      </c>
    </row>
    <row r="33" spans="1:149" x14ac:dyDescent="0.3">
      <c r="A33" s="2" t="s">
        <v>80</v>
      </c>
      <c r="B33">
        <v>80000</v>
      </c>
      <c r="D33" s="2" t="s">
        <v>108</v>
      </c>
      <c r="E33">
        <v>40000</v>
      </c>
      <c r="G33" s="2" t="s">
        <v>108</v>
      </c>
      <c r="H33">
        <v>40000</v>
      </c>
      <c r="I33">
        <v>7.3614949999999998E-2</v>
      </c>
      <c r="J33" s="2">
        <v>57000</v>
      </c>
      <c r="K33">
        <v>50666.666666666664</v>
      </c>
      <c r="M33" s="2" t="s">
        <v>201</v>
      </c>
      <c r="N33">
        <v>34000</v>
      </c>
      <c r="Q33" s="2" t="s">
        <v>188</v>
      </c>
      <c r="R33">
        <v>0.65877535777638474</v>
      </c>
      <c r="T33" s="2" t="s">
        <v>125</v>
      </c>
      <c r="U33">
        <v>0.75392736000000005</v>
      </c>
      <c r="W33" s="2" t="s">
        <v>63</v>
      </c>
      <c r="X33">
        <v>0.50672076300000002</v>
      </c>
      <c r="Y33">
        <v>48400</v>
      </c>
      <c r="AA33" s="2" t="s">
        <v>63</v>
      </c>
      <c r="AB33">
        <v>0.50672076300000002</v>
      </c>
      <c r="AD33" s="2" t="s">
        <v>140</v>
      </c>
      <c r="AR33">
        <v>0.8448569482288828</v>
      </c>
      <c r="BH33">
        <v>51000</v>
      </c>
      <c r="BX33">
        <v>0.42692372000000001</v>
      </c>
      <c r="CN33">
        <v>0.66305329719963868</v>
      </c>
      <c r="DD33">
        <v>20000</v>
      </c>
      <c r="DT33">
        <v>60000</v>
      </c>
      <c r="EJ33">
        <v>3.8952537000000002E-2</v>
      </c>
      <c r="EM33">
        <v>0.8448569482288828</v>
      </c>
      <c r="EN33">
        <v>51000</v>
      </c>
      <c r="EO33">
        <v>0.42692372000000001</v>
      </c>
      <c r="EP33">
        <v>0.66305329719963868</v>
      </c>
      <c r="EQ33">
        <v>20000</v>
      </c>
      <c r="ER33">
        <v>60000</v>
      </c>
      <c r="ES33">
        <v>3.8952537000000002E-2</v>
      </c>
    </row>
    <row r="34" spans="1:149" x14ac:dyDescent="0.3">
      <c r="A34" s="2" t="s">
        <v>74</v>
      </c>
      <c r="B34">
        <v>80000</v>
      </c>
      <c r="D34" s="2" t="s">
        <v>154</v>
      </c>
      <c r="E34">
        <v>40000</v>
      </c>
      <c r="G34" s="2" t="s">
        <v>154</v>
      </c>
      <c r="H34">
        <v>40000</v>
      </c>
      <c r="I34">
        <v>7.5631139999999999E-2</v>
      </c>
      <c r="J34" s="2">
        <v>58000</v>
      </c>
      <c r="K34">
        <v>42885.714285714283</v>
      </c>
      <c r="M34" s="2" t="s">
        <v>146</v>
      </c>
      <c r="N34">
        <v>32000</v>
      </c>
      <c r="Q34" s="2" t="s">
        <v>148</v>
      </c>
      <c r="R34">
        <v>0.65892187245147615</v>
      </c>
      <c r="T34" s="2" t="s">
        <v>103</v>
      </c>
      <c r="U34">
        <v>0.75214388399999998</v>
      </c>
      <c r="W34" s="2" t="s">
        <v>138</v>
      </c>
      <c r="X34">
        <v>0.41680957400000002</v>
      </c>
      <c r="Y34">
        <v>45000</v>
      </c>
      <c r="AA34" s="2" t="s">
        <v>138</v>
      </c>
      <c r="AB34">
        <v>0.41680957400000002</v>
      </c>
      <c r="AD34" s="2" t="s">
        <v>137</v>
      </c>
      <c r="AO34">
        <v>0.71243150099587349</v>
      </c>
      <c r="BE34">
        <v>30000</v>
      </c>
      <c r="BU34">
        <v>0.68394261899999997</v>
      </c>
      <c r="CK34">
        <v>0.81813823275087116</v>
      </c>
      <c r="DA34">
        <v>15000</v>
      </c>
      <c r="DQ34">
        <v>44000</v>
      </c>
      <c r="EG34">
        <v>4.6902999000000001E-2</v>
      </c>
      <c r="EM34">
        <v>0.71243150099587349</v>
      </c>
      <c r="EN34">
        <v>30000</v>
      </c>
      <c r="EO34">
        <v>0.68394261899999997</v>
      </c>
      <c r="EP34">
        <v>0.81813823275087116</v>
      </c>
      <c r="EQ34">
        <v>15000</v>
      </c>
      <c r="ER34">
        <v>44000</v>
      </c>
      <c r="ES34">
        <v>4.6902999000000001E-2</v>
      </c>
    </row>
    <row r="35" spans="1:149" x14ac:dyDescent="0.3">
      <c r="A35" s="2" t="s">
        <v>76</v>
      </c>
      <c r="B35">
        <v>78000</v>
      </c>
      <c r="D35" s="2" t="s">
        <v>103</v>
      </c>
      <c r="E35">
        <v>40500</v>
      </c>
      <c r="G35" s="2" t="s">
        <v>103</v>
      </c>
      <c r="H35">
        <v>40500</v>
      </c>
      <c r="I35">
        <v>5.5784848999999997E-2</v>
      </c>
      <c r="J35" s="2">
        <v>58600</v>
      </c>
      <c r="K35">
        <v>45000</v>
      </c>
      <c r="M35" s="2" t="s">
        <v>171</v>
      </c>
      <c r="N35">
        <v>32000</v>
      </c>
      <c r="Q35" s="2" t="s">
        <v>118</v>
      </c>
      <c r="R35">
        <v>0.65938883646657476</v>
      </c>
      <c r="T35" s="2" t="s">
        <v>97</v>
      </c>
      <c r="U35">
        <v>0.75047258999999999</v>
      </c>
      <c r="W35" s="2" t="s">
        <v>194</v>
      </c>
      <c r="X35">
        <v>0.45146488600000001</v>
      </c>
      <c r="Y35">
        <v>106000</v>
      </c>
      <c r="AA35" s="2" t="s">
        <v>194</v>
      </c>
      <c r="AB35">
        <v>0.45146488600000001</v>
      </c>
      <c r="AD35" s="2" t="s">
        <v>63</v>
      </c>
      <c r="AK35">
        <v>0.70446208058199256</v>
      </c>
      <c r="BA35">
        <v>32500</v>
      </c>
      <c r="BQ35">
        <v>0.50672076300000002</v>
      </c>
      <c r="CG35">
        <v>0.68714518516940581</v>
      </c>
      <c r="CW35">
        <v>15000</v>
      </c>
      <c r="DM35">
        <v>48400</v>
      </c>
      <c r="EC35">
        <v>4.6266957999999997E-2</v>
      </c>
      <c r="EM35">
        <v>0.70446208058199256</v>
      </c>
      <c r="EN35">
        <v>32500</v>
      </c>
      <c r="EO35">
        <v>0.50672076300000002</v>
      </c>
      <c r="EP35">
        <v>0.68714518516940581</v>
      </c>
      <c r="EQ35">
        <v>15000</v>
      </c>
      <c r="ER35">
        <v>48400</v>
      </c>
      <c r="ES35">
        <v>4.6266957999999997E-2</v>
      </c>
    </row>
    <row r="36" spans="1:149" x14ac:dyDescent="0.3">
      <c r="A36" s="2" t="s">
        <v>51</v>
      </c>
      <c r="B36">
        <v>78000</v>
      </c>
      <c r="D36" s="2" t="s">
        <v>60</v>
      </c>
      <c r="E36">
        <v>41000</v>
      </c>
      <c r="G36" s="2" t="s">
        <v>60</v>
      </c>
      <c r="H36">
        <v>41000</v>
      </c>
      <c r="I36">
        <v>0.101745936</v>
      </c>
      <c r="J36" s="2">
        <v>59000</v>
      </c>
      <c r="K36">
        <v>44000</v>
      </c>
      <c r="M36" s="2" t="s">
        <v>95</v>
      </c>
      <c r="N36">
        <v>32000</v>
      </c>
      <c r="Q36" s="2" t="s">
        <v>157</v>
      </c>
      <c r="R36">
        <v>0.66102732483721971</v>
      </c>
      <c r="T36" s="2" t="s">
        <v>158</v>
      </c>
      <c r="U36">
        <v>0.74756092600000001</v>
      </c>
      <c r="W36" s="2" t="s">
        <v>119</v>
      </c>
      <c r="X36">
        <v>0.52415258300000001</v>
      </c>
      <c r="Y36">
        <v>60000</v>
      </c>
      <c r="AA36" s="2" t="s">
        <v>119</v>
      </c>
      <c r="AB36">
        <v>0.52415258300000001</v>
      </c>
      <c r="AD36" s="2" t="s">
        <v>138</v>
      </c>
      <c r="AN36">
        <v>0.68785589689621862</v>
      </c>
      <c r="BD36">
        <v>40000</v>
      </c>
      <c r="BT36">
        <v>0.41680957400000002</v>
      </c>
      <c r="CJ36">
        <v>0.67424172470269195</v>
      </c>
      <c r="CZ36">
        <v>19000</v>
      </c>
      <c r="DP36">
        <v>45000</v>
      </c>
      <c r="EF36">
        <v>7.5020334999999994E-2</v>
      </c>
      <c r="EM36">
        <v>0.68785589689621862</v>
      </c>
      <c r="EN36">
        <v>40000</v>
      </c>
      <c r="EO36">
        <v>0.41680957400000002</v>
      </c>
      <c r="EP36">
        <v>0.67424172470269195</v>
      </c>
      <c r="EQ36">
        <v>19000</v>
      </c>
      <c r="ER36">
        <v>45000</v>
      </c>
      <c r="ES36">
        <v>7.5020334999999994E-2</v>
      </c>
    </row>
    <row r="37" spans="1:149" x14ac:dyDescent="0.3">
      <c r="A37" s="2" t="s">
        <v>79</v>
      </c>
      <c r="B37">
        <v>78000</v>
      </c>
      <c r="D37" s="2" t="s">
        <v>70</v>
      </c>
      <c r="E37">
        <v>42000</v>
      </c>
      <c r="G37" s="2" t="s">
        <v>70</v>
      </c>
      <c r="H37">
        <v>42000</v>
      </c>
      <c r="I37">
        <v>4.8080293000000003E-2</v>
      </c>
      <c r="J37" s="2">
        <v>60000</v>
      </c>
      <c r="K37">
        <v>46771.428571428572</v>
      </c>
      <c r="M37" s="2" t="s">
        <v>147</v>
      </c>
      <c r="N37">
        <v>30000</v>
      </c>
      <c r="Q37" s="2" t="s">
        <v>140</v>
      </c>
      <c r="R37">
        <v>0.66305329719963868</v>
      </c>
      <c r="T37" s="2" t="s">
        <v>110</v>
      </c>
      <c r="U37">
        <v>0.74566153800000001</v>
      </c>
      <c r="W37" s="2" t="s">
        <v>92</v>
      </c>
      <c r="X37">
        <v>0.120564344</v>
      </c>
      <c r="Y37">
        <v>125000</v>
      </c>
      <c r="AA37" s="2" t="s">
        <v>92</v>
      </c>
      <c r="AB37">
        <v>0.120564344</v>
      </c>
      <c r="AD37" s="2" t="s">
        <v>194</v>
      </c>
      <c r="AM37">
        <v>0.71929258895032966</v>
      </c>
      <c r="BC37">
        <v>47000</v>
      </c>
      <c r="BS37">
        <v>0.45146488600000001</v>
      </c>
      <c r="CI37">
        <v>0.6888896292841119</v>
      </c>
      <c r="CY37">
        <v>4000</v>
      </c>
      <c r="DO37">
        <v>106000</v>
      </c>
      <c r="EE37">
        <v>3.4357681000000001E-2</v>
      </c>
      <c r="EM37">
        <v>0.71929258895032966</v>
      </c>
      <c r="EN37">
        <v>47000</v>
      </c>
      <c r="EO37">
        <v>0.45146488600000001</v>
      </c>
      <c r="EP37">
        <v>0.6888896292841119</v>
      </c>
      <c r="EQ37">
        <v>4000</v>
      </c>
      <c r="ER37">
        <v>106000</v>
      </c>
      <c r="ES37">
        <v>3.4357681000000001E-2</v>
      </c>
    </row>
    <row r="38" spans="1:149" x14ac:dyDescent="0.3">
      <c r="A38" s="2" t="s">
        <v>86</v>
      </c>
      <c r="B38">
        <v>78000</v>
      </c>
      <c r="D38" s="2" t="s">
        <v>188</v>
      </c>
      <c r="E38">
        <v>42000</v>
      </c>
      <c r="G38" s="2" t="s">
        <v>188</v>
      </c>
      <c r="H38">
        <v>42000</v>
      </c>
      <c r="I38">
        <v>4.6467181000000003E-2</v>
      </c>
      <c r="J38" s="2">
        <v>61000</v>
      </c>
      <c r="K38">
        <v>45000</v>
      </c>
      <c r="M38" s="2" t="s">
        <v>82</v>
      </c>
      <c r="N38">
        <v>30000</v>
      </c>
      <c r="Q38" s="2" t="s">
        <v>90</v>
      </c>
      <c r="R38">
        <v>0.66422269168634274</v>
      </c>
      <c r="T38" s="2" t="s">
        <v>209</v>
      </c>
      <c r="U38">
        <v>0.73399192800000002</v>
      </c>
      <c r="W38" s="2" t="s">
        <v>102</v>
      </c>
      <c r="X38">
        <v>0.69011067500000001</v>
      </c>
      <c r="Y38">
        <v>45000</v>
      </c>
      <c r="AA38" s="2" t="s">
        <v>102</v>
      </c>
      <c r="AB38">
        <v>0.69011067500000001</v>
      </c>
      <c r="AD38" s="2" t="s">
        <v>119</v>
      </c>
      <c r="AG38">
        <v>0.74087905774202811</v>
      </c>
      <c r="AW38">
        <v>70000</v>
      </c>
      <c r="BM38">
        <v>0.52415258300000001</v>
      </c>
      <c r="CC38">
        <v>0.69411764705882351</v>
      </c>
      <c r="CS38">
        <v>39000</v>
      </c>
      <c r="DI38">
        <v>60000</v>
      </c>
      <c r="DY38">
        <v>1.6110797E-2</v>
      </c>
      <c r="EM38">
        <v>0.74087905774202811</v>
      </c>
      <c r="EN38">
        <v>70000</v>
      </c>
      <c r="EO38">
        <v>0.52415258300000001</v>
      </c>
      <c r="EP38">
        <v>0.69411764705882351</v>
      </c>
      <c r="EQ38">
        <v>39000</v>
      </c>
      <c r="ER38">
        <v>60000</v>
      </c>
      <c r="ES38">
        <v>1.6110797E-2</v>
      </c>
    </row>
    <row r="39" spans="1:149" x14ac:dyDescent="0.3">
      <c r="A39" s="2" t="s">
        <v>149</v>
      </c>
      <c r="B39">
        <v>75000</v>
      </c>
      <c r="D39" s="2" t="s">
        <v>179</v>
      </c>
      <c r="E39">
        <v>42000</v>
      </c>
      <c r="G39" s="2" t="s">
        <v>179</v>
      </c>
      <c r="H39">
        <v>42000</v>
      </c>
      <c r="I39">
        <v>8.0273730000000001E-2</v>
      </c>
      <c r="J39" s="2">
        <v>62000</v>
      </c>
      <c r="K39">
        <v>48900</v>
      </c>
      <c r="M39" s="2" t="s">
        <v>166</v>
      </c>
      <c r="N39">
        <v>30000</v>
      </c>
      <c r="Q39" s="2" t="s">
        <v>69</v>
      </c>
      <c r="R39">
        <v>0.66863865011865964</v>
      </c>
      <c r="T39" s="2" t="s">
        <v>68</v>
      </c>
      <c r="U39">
        <v>0.73396758299999998</v>
      </c>
      <c r="W39" s="2" t="s">
        <v>203</v>
      </c>
      <c r="X39">
        <v>0.322222222</v>
      </c>
      <c r="Y39">
        <v>65000</v>
      </c>
      <c r="AA39" s="2" t="s">
        <v>203</v>
      </c>
      <c r="AB39">
        <v>0.322222222</v>
      </c>
      <c r="AD39" s="2" t="s">
        <v>92</v>
      </c>
      <c r="AL39">
        <v>0.83102413940865594</v>
      </c>
      <c r="BB39">
        <v>135000</v>
      </c>
      <c r="BR39">
        <v>0.120564344</v>
      </c>
      <c r="CH39">
        <v>0.71325964036472922</v>
      </c>
      <c r="CX39">
        <v>-2000</v>
      </c>
      <c r="DN39">
        <v>125000</v>
      </c>
      <c r="ED39">
        <v>4.2205349000000003E-2</v>
      </c>
      <c r="EM39">
        <v>0.83102413940865594</v>
      </c>
      <c r="EN39">
        <v>135000</v>
      </c>
      <c r="EO39">
        <v>0.120564344</v>
      </c>
      <c r="EP39">
        <v>0.71325964036472922</v>
      </c>
      <c r="EQ39">
        <v>-2000</v>
      </c>
      <c r="ER39">
        <v>125000</v>
      </c>
      <c r="ES39">
        <v>4.2205349000000003E-2</v>
      </c>
    </row>
    <row r="40" spans="1:149" x14ac:dyDescent="0.3">
      <c r="A40" s="2" t="s">
        <v>73</v>
      </c>
      <c r="B40">
        <v>75000</v>
      </c>
      <c r="D40" s="2" t="s">
        <v>67</v>
      </c>
      <c r="E40">
        <v>42000</v>
      </c>
      <c r="G40" s="2" t="s">
        <v>67</v>
      </c>
      <c r="H40">
        <v>42000</v>
      </c>
      <c r="I40">
        <v>4.7144655000000001E-2</v>
      </c>
      <c r="J40" s="2">
        <v>64000</v>
      </c>
      <c r="K40">
        <v>47500</v>
      </c>
      <c r="M40" s="2" t="s">
        <v>213</v>
      </c>
      <c r="N40">
        <v>30000</v>
      </c>
      <c r="Q40" s="2" t="s">
        <v>71</v>
      </c>
      <c r="R40">
        <v>0.66918973005378224</v>
      </c>
      <c r="T40" s="2" t="s">
        <v>139</v>
      </c>
      <c r="U40">
        <v>0.72849462399999998</v>
      </c>
      <c r="W40" s="2" t="s">
        <v>147</v>
      </c>
      <c r="X40">
        <v>0.68899917300000002</v>
      </c>
      <c r="Y40">
        <v>55000</v>
      </c>
      <c r="AA40" s="2" t="s">
        <v>147</v>
      </c>
      <c r="AB40">
        <v>0.68899917300000002</v>
      </c>
      <c r="AD40" s="2" t="s">
        <v>102</v>
      </c>
      <c r="AN40">
        <v>0.66422642379525021</v>
      </c>
      <c r="BD40">
        <v>45000</v>
      </c>
      <c r="BT40">
        <v>0.69011067500000001</v>
      </c>
      <c r="CJ40">
        <v>0.60034952329866942</v>
      </c>
      <c r="CZ40">
        <v>21000</v>
      </c>
      <c r="DP40">
        <v>45000</v>
      </c>
      <c r="EF40">
        <v>7.2373874000000005E-2</v>
      </c>
      <c r="EM40">
        <v>0.66422642379525021</v>
      </c>
      <c r="EN40">
        <v>45000</v>
      </c>
      <c r="EO40">
        <v>0.69011067500000001</v>
      </c>
      <c r="EP40">
        <v>0.60034952329866942</v>
      </c>
      <c r="EQ40">
        <v>21000</v>
      </c>
      <c r="ER40">
        <v>45000</v>
      </c>
      <c r="ES40">
        <v>7.2373874000000005E-2</v>
      </c>
    </row>
    <row r="41" spans="1:149" x14ac:dyDescent="0.3">
      <c r="A41" s="2" t="s">
        <v>85</v>
      </c>
      <c r="B41">
        <v>75000</v>
      </c>
      <c r="D41" s="2" t="s">
        <v>71</v>
      </c>
      <c r="E41">
        <v>42600</v>
      </c>
      <c r="G41" s="2" t="s">
        <v>71</v>
      </c>
      <c r="H41">
        <v>42600</v>
      </c>
      <c r="I41">
        <v>4.0973373E-2</v>
      </c>
      <c r="J41" s="2">
        <v>65000</v>
      </c>
      <c r="K41">
        <v>50464.285714285717</v>
      </c>
      <c r="M41" s="2" t="s">
        <v>203</v>
      </c>
      <c r="N41">
        <v>28000</v>
      </c>
      <c r="Q41" s="2" t="s">
        <v>213</v>
      </c>
      <c r="R41">
        <v>0.66984109095007327</v>
      </c>
      <c r="T41" s="2" t="s">
        <v>101</v>
      </c>
      <c r="U41">
        <v>0.72803259099999995</v>
      </c>
      <c r="W41" s="2" t="s">
        <v>131</v>
      </c>
      <c r="X41">
        <v>0.63814682</v>
      </c>
      <c r="Y41">
        <v>49500</v>
      </c>
      <c r="AA41" s="2" t="s">
        <v>131</v>
      </c>
      <c r="AB41">
        <v>0.63814682</v>
      </c>
      <c r="AD41" s="2" t="s">
        <v>203</v>
      </c>
      <c r="AH41">
        <v>0.86825373355019964</v>
      </c>
      <c r="AX41">
        <v>45000</v>
      </c>
      <c r="BN41">
        <v>0.322222222</v>
      </c>
      <c r="CD41">
        <v>0.82763986013986013</v>
      </c>
      <c r="CT41">
        <v>28000</v>
      </c>
      <c r="DJ41">
        <v>65000</v>
      </c>
      <c r="DZ41">
        <v>4.3268259000000003E-2</v>
      </c>
      <c r="EM41">
        <v>0.86825373355019964</v>
      </c>
      <c r="EN41">
        <v>45000</v>
      </c>
      <c r="EO41">
        <v>0.322222222</v>
      </c>
      <c r="EP41">
        <v>0.82763986013986013</v>
      </c>
      <c r="EQ41">
        <v>28000</v>
      </c>
      <c r="ER41">
        <v>65000</v>
      </c>
      <c r="ES41">
        <v>4.3268259000000003E-2</v>
      </c>
    </row>
    <row r="42" spans="1:149" x14ac:dyDescent="0.3">
      <c r="A42" s="2" t="s">
        <v>95</v>
      </c>
      <c r="B42">
        <v>74000</v>
      </c>
      <c r="D42" s="2" t="s">
        <v>62</v>
      </c>
      <c r="E42">
        <v>43000</v>
      </c>
      <c r="G42" s="2" t="s">
        <v>62</v>
      </c>
      <c r="H42">
        <v>43000</v>
      </c>
      <c r="I42">
        <v>3.2983017000000003E-2</v>
      </c>
      <c r="J42" s="2">
        <v>66000</v>
      </c>
      <c r="K42">
        <v>46000</v>
      </c>
      <c r="M42" s="2" t="s">
        <v>212</v>
      </c>
      <c r="N42">
        <v>28000</v>
      </c>
      <c r="Q42" s="2" t="s">
        <v>155</v>
      </c>
      <c r="R42">
        <v>0.67137994239329668</v>
      </c>
      <c r="T42" s="2" t="s">
        <v>135</v>
      </c>
      <c r="U42">
        <v>0.72186591300000003</v>
      </c>
      <c r="W42" s="2" t="s">
        <v>193</v>
      </c>
      <c r="X42">
        <v>0.89601898800000002</v>
      </c>
      <c r="Y42">
        <v>62000</v>
      </c>
      <c r="AA42" s="2" t="s">
        <v>193</v>
      </c>
      <c r="AB42">
        <v>0.89601898800000002</v>
      </c>
      <c r="AD42" s="2" t="s">
        <v>147</v>
      </c>
      <c r="AR42">
        <v>0.82567876173560006</v>
      </c>
      <c r="BH42">
        <v>50000</v>
      </c>
      <c r="BX42">
        <v>0.68899917300000002</v>
      </c>
      <c r="CN42">
        <v>0.73382366632529561</v>
      </c>
      <c r="DD42">
        <v>30000</v>
      </c>
      <c r="DT42">
        <v>55000</v>
      </c>
      <c r="EJ42">
        <v>5.3895090999999999E-2</v>
      </c>
      <c r="EM42">
        <v>0.82567876173560006</v>
      </c>
      <c r="EN42">
        <v>50000</v>
      </c>
      <c r="EO42">
        <v>0.68899917300000002</v>
      </c>
      <c r="EP42">
        <v>0.73382366632529561</v>
      </c>
      <c r="EQ42">
        <v>30000</v>
      </c>
      <c r="ER42">
        <v>55000</v>
      </c>
      <c r="ES42">
        <v>5.3895090999999999E-2</v>
      </c>
    </row>
    <row r="43" spans="1:149" x14ac:dyDescent="0.3">
      <c r="A43" s="2" t="s">
        <v>210</v>
      </c>
      <c r="B43">
        <v>72000</v>
      </c>
      <c r="D43" s="2" t="s">
        <v>57</v>
      </c>
      <c r="E43">
        <v>43000</v>
      </c>
      <c r="G43" s="2" t="s">
        <v>57</v>
      </c>
      <c r="H43">
        <v>43000</v>
      </c>
      <c r="I43">
        <v>4.3903517000000003E-2</v>
      </c>
      <c r="J43" s="2">
        <v>67000</v>
      </c>
      <c r="K43">
        <v>51250</v>
      </c>
      <c r="M43" s="2" t="s">
        <v>150</v>
      </c>
      <c r="N43">
        <v>27000</v>
      </c>
      <c r="Q43" s="2" t="s">
        <v>212</v>
      </c>
      <c r="R43">
        <v>0.67145257112541734</v>
      </c>
      <c r="T43" s="2" t="s">
        <v>33</v>
      </c>
      <c r="U43">
        <v>0.71997408299999999</v>
      </c>
      <c r="W43" s="2" t="s">
        <v>151</v>
      </c>
      <c r="X43">
        <v>0.43053676099999999</v>
      </c>
      <c r="Y43">
        <v>62000</v>
      </c>
      <c r="AA43" s="2" t="s">
        <v>151</v>
      </c>
      <c r="AB43">
        <v>0.43053676099999999</v>
      </c>
      <c r="AD43" s="2" t="s">
        <v>131</v>
      </c>
      <c r="AM43">
        <v>0.64068553717124754</v>
      </c>
      <c r="BC43">
        <v>35000</v>
      </c>
      <c r="BS43">
        <v>0.63814682</v>
      </c>
      <c r="CI43">
        <v>0.67992066197663248</v>
      </c>
      <c r="CY43">
        <v>15000</v>
      </c>
      <c r="DO43">
        <v>49500</v>
      </c>
      <c r="EE43">
        <v>6.3216549999999996E-2</v>
      </c>
      <c r="EM43">
        <v>0.64068553717124754</v>
      </c>
      <c r="EN43">
        <v>35000</v>
      </c>
      <c r="EO43">
        <v>0.63814682</v>
      </c>
      <c r="EP43">
        <v>0.67992066197663248</v>
      </c>
      <c r="EQ43">
        <v>15000</v>
      </c>
      <c r="ER43">
        <v>49500</v>
      </c>
      <c r="ES43">
        <v>6.3216549999999996E-2</v>
      </c>
    </row>
    <row r="44" spans="1:149" x14ac:dyDescent="0.3">
      <c r="A44" s="2" t="s">
        <v>201</v>
      </c>
      <c r="B44">
        <v>72000</v>
      </c>
      <c r="D44" s="2" t="s">
        <v>128</v>
      </c>
      <c r="E44">
        <v>43000</v>
      </c>
      <c r="G44" s="2" t="s">
        <v>128</v>
      </c>
      <c r="H44">
        <v>43000</v>
      </c>
      <c r="I44">
        <v>7.7268967999999993E-2</v>
      </c>
      <c r="J44" s="2">
        <v>68000</v>
      </c>
      <c r="K44">
        <v>50200</v>
      </c>
      <c r="M44" s="2" t="s">
        <v>189</v>
      </c>
      <c r="N44">
        <v>27000</v>
      </c>
      <c r="Q44" s="2" t="s">
        <v>109</v>
      </c>
      <c r="R44">
        <v>0.67351606148155174</v>
      </c>
      <c r="T44" s="2" t="s">
        <v>44</v>
      </c>
      <c r="U44">
        <v>0.71985895200000005</v>
      </c>
      <c r="W44" s="2" t="s">
        <v>91</v>
      </c>
      <c r="X44">
        <v>0.144966965</v>
      </c>
      <c r="Y44">
        <v>95000</v>
      </c>
      <c r="AA44" s="2" t="s">
        <v>91</v>
      </c>
      <c r="AB44">
        <v>0.144966965</v>
      </c>
      <c r="AD44" s="2" t="s">
        <v>193</v>
      </c>
      <c r="AM44">
        <v>0.7147455214598053</v>
      </c>
      <c r="BC44">
        <v>32000</v>
      </c>
      <c r="BS44">
        <v>0.89601898800000002</v>
      </c>
      <c r="CI44">
        <v>0.7490349693653624</v>
      </c>
      <c r="CY44">
        <v>20000</v>
      </c>
      <c r="DO44">
        <v>62000</v>
      </c>
      <c r="EE44">
        <v>2.6796818E-2</v>
      </c>
      <c r="EM44">
        <v>0.7147455214598053</v>
      </c>
      <c r="EN44">
        <v>32000</v>
      </c>
      <c r="EO44">
        <v>0.89601898800000002</v>
      </c>
      <c r="EP44">
        <v>0.7490349693653624</v>
      </c>
      <c r="EQ44">
        <v>20000</v>
      </c>
      <c r="ER44">
        <v>62000</v>
      </c>
      <c r="ES44">
        <v>2.6796818E-2</v>
      </c>
    </row>
    <row r="45" spans="1:149" x14ac:dyDescent="0.3">
      <c r="A45" s="2" t="s">
        <v>125</v>
      </c>
      <c r="B45">
        <v>70000</v>
      </c>
      <c r="D45" s="2" t="s">
        <v>167</v>
      </c>
      <c r="E45">
        <v>43000</v>
      </c>
      <c r="G45" s="2" t="s">
        <v>167</v>
      </c>
      <c r="H45">
        <v>43000</v>
      </c>
      <c r="I45">
        <v>7.8175778000000001E-2</v>
      </c>
      <c r="J45" s="2">
        <v>68500</v>
      </c>
      <c r="K45">
        <v>50000</v>
      </c>
      <c r="M45" s="2" t="s">
        <v>148</v>
      </c>
      <c r="N45">
        <v>26000</v>
      </c>
      <c r="Q45" s="2" t="s">
        <v>138</v>
      </c>
      <c r="R45">
        <v>0.67424172470269195</v>
      </c>
      <c r="T45" s="2" t="s">
        <v>72</v>
      </c>
      <c r="U45">
        <v>0.71836476599999999</v>
      </c>
      <c r="W45" s="2" t="s">
        <v>122</v>
      </c>
      <c r="X45">
        <v>0.47501047000000002</v>
      </c>
      <c r="Y45">
        <v>35000</v>
      </c>
      <c r="AA45" s="2" t="s">
        <v>122</v>
      </c>
      <c r="AB45">
        <v>0.47501047000000002</v>
      </c>
      <c r="AD45" s="2" t="s">
        <v>151</v>
      </c>
      <c r="AR45">
        <v>0.75711297071129702</v>
      </c>
      <c r="BH45">
        <v>35000</v>
      </c>
      <c r="BX45">
        <v>0.43053676099999999</v>
      </c>
      <c r="CN45">
        <v>0.78579648199901364</v>
      </c>
      <c r="DD45">
        <v>16000</v>
      </c>
      <c r="DT45">
        <v>62000</v>
      </c>
      <c r="EJ45">
        <v>6.9857949000000003E-2</v>
      </c>
      <c r="EM45">
        <v>0.75711297071129702</v>
      </c>
      <c r="EN45">
        <v>35000</v>
      </c>
      <c r="EO45">
        <v>0.43053676099999999</v>
      </c>
      <c r="EP45">
        <v>0.78579648199901364</v>
      </c>
      <c r="EQ45">
        <v>16000</v>
      </c>
      <c r="ER45">
        <v>62000</v>
      </c>
      <c r="ES45">
        <v>6.9857949000000003E-2</v>
      </c>
    </row>
    <row r="46" spans="1:149" x14ac:dyDescent="0.3">
      <c r="A46" s="2" t="s">
        <v>83</v>
      </c>
      <c r="B46">
        <v>70000</v>
      </c>
      <c r="D46" s="2" t="s">
        <v>137</v>
      </c>
      <c r="E46">
        <v>44000</v>
      </c>
      <c r="G46" s="2" t="s">
        <v>137</v>
      </c>
      <c r="H46">
        <v>44000</v>
      </c>
      <c r="I46">
        <v>4.6902999000000001E-2</v>
      </c>
      <c r="J46" s="2">
        <v>69000</v>
      </c>
      <c r="K46">
        <v>50000</v>
      </c>
      <c r="M46" s="2" t="s">
        <v>106</v>
      </c>
      <c r="N46">
        <v>26000</v>
      </c>
      <c r="Q46" s="2" t="s">
        <v>184</v>
      </c>
      <c r="R46">
        <v>0.6746686919385374</v>
      </c>
      <c r="T46" s="2" t="s">
        <v>49</v>
      </c>
      <c r="U46">
        <v>0.70771850199999997</v>
      </c>
      <c r="W46" s="2" t="s">
        <v>90</v>
      </c>
      <c r="X46">
        <v>0.107313196</v>
      </c>
      <c r="Y46">
        <v>97000</v>
      </c>
      <c r="AA46" s="2" t="s">
        <v>90</v>
      </c>
      <c r="AB46">
        <v>0.107313196</v>
      </c>
      <c r="AD46" s="2" t="s">
        <v>91</v>
      </c>
      <c r="AL46">
        <v>0.88442622950819672</v>
      </c>
      <c r="BB46">
        <v>63000</v>
      </c>
      <c r="BR46">
        <v>0.144966965</v>
      </c>
      <c r="CH46">
        <v>0.74496234479951151</v>
      </c>
      <c r="CX46">
        <v>10000</v>
      </c>
      <c r="DN46">
        <v>95000</v>
      </c>
      <c r="ED46">
        <v>6.7159423999999995E-2</v>
      </c>
      <c r="EM46">
        <v>0.88442622950819672</v>
      </c>
      <c r="EN46">
        <v>63000</v>
      </c>
      <c r="EO46">
        <v>0.144966965</v>
      </c>
      <c r="EP46">
        <v>0.74496234479951151</v>
      </c>
      <c r="EQ46">
        <v>10000</v>
      </c>
      <c r="ER46">
        <v>95000</v>
      </c>
      <c r="ES46">
        <v>6.7159423999999995E-2</v>
      </c>
    </row>
    <row r="47" spans="1:149" x14ac:dyDescent="0.3">
      <c r="A47" s="2" t="s">
        <v>148</v>
      </c>
      <c r="B47">
        <v>70000</v>
      </c>
      <c r="D47" s="2" t="s">
        <v>184</v>
      </c>
      <c r="E47">
        <v>44500</v>
      </c>
      <c r="G47" s="2" t="s">
        <v>184</v>
      </c>
      <c r="H47">
        <v>44500</v>
      </c>
      <c r="I47">
        <v>6.3912645000000004E-2</v>
      </c>
      <c r="J47" s="2">
        <v>70000</v>
      </c>
      <c r="K47">
        <v>52444.444444444445</v>
      </c>
      <c r="M47" s="2" t="s">
        <v>162</v>
      </c>
      <c r="N47">
        <v>26000</v>
      </c>
      <c r="Q47" s="2" t="s">
        <v>177</v>
      </c>
      <c r="R47">
        <v>0.67655137325796688</v>
      </c>
      <c r="T47" s="2" t="s">
        <v>188</v>
      </c>
      <c r="U47">
        <v>0.70713623699999995</v>
      </c>
      <c r="W47" s="2" t="s">
        <v>37</v>
      </c>
      <c r="X47">
        <v>0.56463933499999996</v>
      </c>
      <c r="Y47">
        <v>52000</v>
      </c>
      <c r="AA47" s="2" t="s">
        <v>37</v>
      </c>
      <c r="AB47">
        <v>0.56463933499999996</v>
      </c>
      <c r="AD47" s="2" t="s">
        <v>122</v>
      </c>
      <c r="AG47">
        <v>0.60598642483587406</v>
      </c>
      <c r="AW47">
        <v>24000</v>
      </c>
      <c r="BM47">
        <v>0.47501047000000002</v>
      </c>
      <c r="CC47">
        <v>0.65713658964609534</v>
      </c>
      <c r="CS47">
        <v>18000</v>
      </c>
      <c r="DI47">
        <v>35000</v>
      </c>
      <c r="DY47">
        <v>6.8897637999999997E-2</v>
      </c>
      <c r="EM47">
        <v>0.60598642483587406</v>
      </c>
      <c r="EN47">
        <v>24000</v>
      </c>
      <c r="EO47">
        <v>0.47501047000000002</v>
      </c>
      <c r="EP47">
        <v>0.65713658964609534</v>
      </c>
      <c r="EQ47">
        <v>18000</v>
      </c>
      <c r="ER47">
        <v>35000</v>
      </c>
      <c r="ES47">
        <v>6.8897637999999997E-2</v>
      </c>
    </row>
    <row r="48" spans="1:149" x14ac:dyDescent="0.3">
      <c r="A48" s="2" t="s">
        <v>93</v>
      </c>
      <c r="B48">
        <v>70000</v>
      </c>
      <c r="D48" s="2" t="s">
        <v>180</v>
      </c>
      <c r="E48">
        <v>45000</v>
      </c>
      <c r="G48" s="2" t="s">
        <v>180</v>
      </c>
      <c r="H48">
        <v>45000</v>
      </c>
      <c r="I48">
        <v>5.4719192999999999E-2</v>
      </c>
      <c r="J48" s="2">
        <v>70300</v>
      </c>
      <c r="K48">
        <v>48000</v>
      </c>
      <c r="M48" s="2" t="s">
        <v>170</v>
      </c>
      <c r="N48">
        <v>26000</v>
      </c>
      <c r="Q48" s="2" t="s">
        <v>197</v>
      </c>
      <c r="R48">
        <v>0.67755354360116937</v>
      </c>
      <c r="T48" s="2" t="s">
        <v>197</v>
      </c>
      <c r="U48">
        <v>0.70202020200000004</v>
      </c>
      <c r="W48" s="2" t="s">
        <v>180</v>
      </c>
      <c r="X48">
        <v>0.44458228500000002</v>
      </c>
      <c r="Y48">
        <v>45000</v>
      </c>
      <c r="AA48" s="2" t="s">
        <v>180</v>
      </c>
      <c r="AB48">
        <v>0.44458228500000002</v>
      </c>
      <c r="AD48" s="2" t="s">
        <v>90</v>
      </c>
      <c r="AL48">
        <v>0.86304957904583723</v>
      </c>
      <c r="BB48">
        <v>65000</v>
      </c>
      <c r="BR48">
        <v>0.107313196</v>
      </c>
      <c r="CH48">
        <v>0.66422269168634274</v>
      </c>
      <c r="CX48">
        <v>2000</v>
      </c>
      <c r="DN48">
        <v>97000</v>
      </c>
      <c r="ED48">
        <v>4.0308825E-2</v>
      </c>
      <c r="EM48">
        <v>0.86304957904583723</v>
      </c>
      <c r="EN48">
        <v>65000</v>
      </c>
      <c r="EO48">
        <v>0.107313196</v>
      </c>
      <c r="EP48">
        <v>0.66422269168634274</v>
      </c>
      <c r="EQ48">
        <v>2000</v>
      </c>
      <c r="ER48">
        <v>97000</v>
      </c>
      <c r="ES48">
        <v>4.0308825E-2</v>
      </c>
    </row>
    <row r="49" spans="1:149" x14ac:dyDescent="0.3">
      <c r="A49" s="2" t="s">
        <v>126</v>
      </c>
      <c r="B49">
        <v>70000</v>
      </c>
      <c r="D49" s="2" t="s">
        <v>135</v>
      </c>
      <c r="E49">
        <v>45000</v>
      </c>
      <c r="G49" s="2" t="s">
        <v>135</v>
      </c>
      <c r="H49">
        <v>45000</v>
      </c>
      <c r="I49">
        <v>6.5383452999999994E-2</v>
      </c>
      <c r="J49" s="2">
        <v>71000</v>
      </c>
      <c r="K49">
        <v>49000</v>
      </c>
      <c r="M49" s="2" t="s">
        <v>206</v>
      </c>
      <c r="N49">
        <v>25000</v>
      </c>
      <c r="Q49" s="2" t="s">
        <v>131</v>
      </c>
      <c r="R49">
        <v>0.67992066197663248</v>
      </c>
      <c r="T49" s="2" t="s">
        <v>109</v>
      </c>
      <c r="U49">
        <v>0.70089842999999996</v>
      </c>
      <c r="W49" s="2" t="s">
        <v>150</v>
      </c>
      <c r="X49">
        <v>0.66999850500000002</v>
      </c>
      <c r="Y49">
        <v>56000</v>
      </c>
      <c r="AA49" s="2" t="s">
        <v>150</v>
      </c>
      <c r="AB49">
        <v>0.66999850500000002</v>
      </c>
      <c r="AD49" s="2" t="s">
        <v>37</v>
      </c>
      <c r="AE49">
        <v>0.76732335411074204</v>
      </c>
      <c r="AU49">
        <v>37900</v>
      </c>
      <c r="BK49">
        <v>0.56463933499999996</v>
      </c>
      <c r="CA49">
        <v>0.79262634033754864</v>
      </c>
      <c r="CQ49">
        <v>17000</v>
      </c>
      <c r="DG49">
        <v>52000</v>
      </c>
      <c r="DW49">
        <v>5.4341278999999999E-2</v>
      </c>
      <c r="EM49">
        <v>0.76732335411074204</v>
      </c>
      <c r="EN49">
        <v>37900</v>
      </c>
      <c r="EO49">
        <v>0.56463933499999996</v>
      </c>
      <c r="EP49">
        <v>0.79262634033754864</v>
      </c>
      <c r="EQ49">
        <v>17000</v>
      </c>
      <c r="ER49">
        <v>52000</v>
      </c>
      <c r="ES49">
        <v>5.4341278999999999E-2</v>
      </c>
    </row>
    <row r="50" spans="1:149" x14ac:dyDescent="0.3">
      <c r="A50" s="2" t="s">
        <v>97</v>
      </c>
      <c r="B50">
        <v>70000</v>
      </c>
      <c r="D50" s="2" t="s">
        <v>115</v>
      </c>
      <c r="E50">
        <v>45000</v>
      </c>
      <c r="G50" s="2" t="s">
        <v>115</v>
      </c>
      <c r="H50">
        <v>45000</v>
      </c>
      <c r="I50">
        <v>6.0537075000000003E-2</v>
      </c>
      <c r="J50" s="2">
        <v>72000</v>
      </c>
      <c r="K50">
        <v>61333.333333333336</v>
      </c>
      <c r="M50" s="2" t="s">
        <v>73</v>
      </c>
      <c r="N50">
        <v>25000</v>
      </c>
      <c r="Q50" s="2" t="s">
        <v>172</v>
      </c>
      <c r="R50">
        <v>0.68070351252227379</v>
      </c>
      <c r="T50" s="2" t="s">
        <v>181</v>
      </c>
      <c r="U50">
        <v>0.69738424499999996</v>
      </c>
      <c r="W50" s="2" t="s">
        <v>128</v>
      </c>
      <c r="X50">
        <v>0.49539715299999998</v>
      </c>
      <c r="Y50">
        <v>43000</v>
      </c>
      <c r="AA50" s="2" t="s">
        <v>128</v>
      </c>
      <c r="AB50">
        <v>0.49539715299999998</v>
      </c>
      <c r="AD50" s="2" t="s">
        <v>180</v>
      </c>
      <c r="AF50">
        <v>0.60269636333444043</v>
      </c>
      <c r="AV50">
        <v>37000</v>
      </c>
      <c r="BL50">
        <v>0.44458228500000002</v>
      </c>
      <c r="CB50">
        <v>0.69754074031173308</v>
      </c>
      <c r="CR50">
        <v>13600</v>
      </c>
      <c r="DH50">
        <v>45000</v>
      </c>
      <c r="DX50">
        <v>5.4719192999999999E-2</v>
      </c>
      <c r="EM50">
        <v>0.60269636333444043</v>
      </c>
      <c r="EN50">
        <v>37000</v>
      </c>
      <c r="EO50">
        <v>0.44458228500000002</v>
      </c>
      <c r="EP50">
        <v>0.69754074031173308</v>
      </c>
      <c r="EQ50">
        <v>13600</v>
      </c>
      <c r="ER50">
        <v>45000</v>
      </c>
      <c r="ES50">
        <v>5.4719192999999999E-2</v>
      </c>
    </row>
    <row r="51" spans="1:149" x14ac:dyDescent="0.3">
      <c r="A51" s="2" t="s">
        <v>166</v>
      </c>
      <c r="B51">
        <v>69000</v>
      </c>
      <c r="D51" s="2" t="s">
        <v>177</v>
      </c>
      <c r="E51">
        <v>45000</v>
      </c>
      <c r="G51" s="2" t="s">
        <v>177</v>
      </c>
      <c r="H51">
        <v>45000</v>
      </c>
      <c r="I51">
        <v>7.1753267999999995E-2</v>
      </c>
      <c r="J51" s="2">
        <v>73000</v>
      </c>
      <c r="K51">
        <v>54500</v>
      </c>
      <c r="M51" s="2" t="s">
        <v>50</v>
      </c>
      <c r="N51">
        <v>25000</v>
      </c>
      <c r="Q51" s="2" t="s">
        <v>74</v>
      </c>
      <c r="R51">
        <v>0.68372531718745244</v>
      </c>
      <c r="T51" s="2" t="s">
        <v>36</v>
      </c>
      <c r="U51">
        <v>0.69036528799999997</v>
      </c>
      <c r="W51" s="2" t="s">
        <v>115</v>
      </c>
      <c r="X51">
        <v>7.7453026999999994E-2</v>
      </c>
      <c r="Y51">
        <v>45000</v>
      </c>
      <c r="AA51" s="2" t="s">
        <v>115</v>
      </c>
      <c r="AB51">
        <v>7.7453026999999994E-2</v>
      </c>
      <c r="AD51" s="2" t="s">
        <v>150</v>
      </c>
      <c r="AR51">
        <v>0.77459711276303977</v>
      </c>
      <c r="BH51">
        <v>47000</v>
      </c>
      <c r="BX51">
        <v>0.66999850500000002</v>
      </c>
      <c r="CN51">
        <v>0.72078242236881152</v>
      </c>
      <c r="DD51">
        <v>27000</v>
      </c>
      <c r="DT51">
        <v>56000</v>
      </c>
      <c r="EJ51">
        <v>4.5231123999999998E-2</v>
      </c>
      <c r="EM51">
        <v>0.77459711276303977</v>
      </c>
      <c r="EN51">
        <v>47000</v>
      </c>
      <c r="EO51">
        <v>0.66999850500000002</v>
      </c>
      <c r="EP51">
        <v>0.72078242236881152</v>
      </c>
      <c r="EQ51">
        <v>27000</v>
      </c>
      <c r="ER51">
        <v>56000</v>
      </c>
      <c r="ES51">
        <v>4.5231123999999998E-2</v>
      </c>
    </row>
    <row r="52" spans="1:149" x14ac:dyDescent="0.3">
      <c r="A52" s="2" t="s">
        <v>52</v>
      </c>
      <c r="B52">
        <v>68000</v>
      </c>
      <c r="D52" s="2" t="s">
        <v>155</v>
      </c>
      <c r="E52">
        <v>45000</v>
      </c>
      <c r="G52" s="2" t="s">
        <v>155</v>
      </c>
      <c r="H52">
        <v>45000</v>
      </c>
      <c r="I52">
        <v>0.102712161</v>
      </c>
      <c r="J52" s="2">
        <v>74000</v>
      </c>
      <c r="K52">
        <v>64500</v>
      </c>
      <c r="M52" s="2" t="s">
        <v>104</v>
      </c>
      <c r="N52">
        <v>25000</v>
      </c>
      <c r="Q52" s="2" t="s">
        <v>86</v>
      </c>
      <c r="R52">
        <v>0.68534764349043398</v>
      </c>
      <c r="T52" s="2" t="s">
        <v>102</v>
      </c>
      <c r="U52">
        <v>0.69011067500000001</v>
      </c>
      <c r="W52" s="2" t="s">
        <v>173</v>
      </c>
      <c r="X52">
        <v>0.54340542199999997</v>
      </c>
      <c r="Y52">
        <v>52000</v>
      </c>
      <c r="AA52" s="2" t="s">
        <v>173</v>
      </c>
      <c r="AB52">
        <v>0.54340542199999997</v>
      </c>
      <c r="AD52" s="2" t="s">
        <v>128</v>
      </c>
      <c r="AP52">
        <v>0.72923318209824683</v>
      </c>
      <c r="BF52">
        <v>23000</v>
      </c>
      <c r="BV52">
        <v>0.49539715299999998</v>
      </c>
      <c r="CL52">
        <v>0.78997322949622784</v>
      </c>
      <c r="DB52">
        <v>11000</v>
      </c>
      <c r="DR52">
        <v>43000</v>
      </c>
      <c r="EH52">
        <v>7.7268967999999993E-2</v>
      </c>
      <c r="EM52">
        <v>0.72923318209824683</v>
      </c>
      <c r="EN52">
        <v>23000</v>
      </c>
      <c r="EO52">
        <v>0.49539715299999998</v>
      </c>
      <c r="EP52">
        <v>0.78997322949622784</v>
      </c>
      <c r="EQ52">
        <v>11000</v>
      </c>
      <c r="ER52">
        <v>43000</v>
      </c>
      <c r="ES52">
        <v>7.7268967999999993E-2</v>
      </c>
    </row>
    <row r="53" spans="1:149" x14ac:dyDescent="0.3">
      <c r="A53" s="2" t="s">
        <v>96</v>
      </c>
      <c r="B53">
        <v>67000</v>
      </c>
      <c r="D53" s="2" t="s">
        <v>66</v>
      </c>
      <c r="E53">
        <v>45000</v>
      </c>
      <c r="G53" s="2" t="s">
        <v>66</v>
      </c>
      <c r="H53">
        <v>45000</v>
      </c>
      <c r="I53">
        <v>4.3755677E-2</v>
      </c>
      <c r="J53" s="2">
        <v>75000</v>
      </c>
      <c r="K53">
        <v>56833.333333333336</v>
      </c>
      <c r="M53" s="2" t="s">
        <v>40</v>
      </c>
      <c r="N53">
        <v>25000</v>
      </c>
      <c r="Q53" s="2" t="s">
        <v>62</v>
      </c>
      <c r="R53">
        <v>0.68601034763399604</v>
      </c>
      <c r="T53" s="2" t="s">
        <v>147</v>
      </c>
      <c r="U53">
        <v>0.68899917300000002</v>
      </c>
      <c r="W53" s="2" t="s">
        <v>159</v>
      </c>
      <c r="X53">
        <v>0.90558992999999999</v>
      </c>
      <c r="Y53">
        <v>45000</v>
      </c>
      <c r="AA53" s="2" t="s">
        <v>159</v>
      </c>
      <c r="AB53">
        <v>0.90558992999999999</v>
      </c>
      <c r="AD53" s="2" t="s">
        <v>115</v>
      </c>
      <c r="AG53">
        <v>0.66099599426338951</v>
      </c>
      <c r="AW53">
        <v>40000</v>
      </c>
      <c r="BM53">
        <v>7.7453026999999994E-2</v>
      </c>
      <c r="CC53">
        <v>0.71713302833634784</v>
      </c>
      <c r="CS53">
        <v>35000</v>
      </c>
      <c r="DI53">
        <v>45000</v>
      </c>
      <c r="DY53">
        <v>6.0537075000000003E-2</v>
      </c>
      <c r="EM53">
        <v>0.66099599426338951</v>
      </c>
      <c r="EN53">
        <v>40000</v>
      </c>
      <c r="EO53">
        <v>7.7453026999999994E-2</v>
      </c>
      <c r="EP53">
        <v>0.71713302833634784</v>
      </c>
      <c r="EQ53">
        <v>35000</v>
      </c>
      <c r="ER53">
        <v>45000</v>
      </c>
      <c r="ES53">
        <v>6.0537075000000003E-2</v>
      </c>
    </row>
    <row r="54" spans="1:149" x14ac:dyDescent="0.3">
      <c r="A54" s="2" t="s">
        <v>176</v>
      </c>
      <c r="B54">
        <v>67000</v>
      </c>
      <c r="D54" s="2" t="s">
        <v>138</v>
      </c>
      <c r="E54">
        <v>45000</v>
      </c>
      <c r="G54" s="2" t="s">
        <v>138</v>
      </c>
      <c r="H54">
        <v>45000</v>
      </c>
      <c r="I54">
        <v>7.5020334999999994E-2</v>
      </c>
      <c r="J54" s="2">
        <v>76000</v>
      </c>
      <c r="K54">
        <v>55000</v>
      </c>
      <c r="M54" s="2" t="s">
        <v>118</v>
      </c>
      <c r="N54">
        <v>25000</v>
      </c>
      <c r="Q54" s="2" t="s">
        <v>63</v>
      </c>
      <c r="R54">
        <v>0.68714518516940581</v>
      </c>
      <c r="T54" s="2" t="s">
        <v>183</v>
      </c>
      <c r="U54">
        <v>0.68699295199999999</v>
      </c>
      <c r="W54" s="2" t="s">
        <v>197</v>
      </c>
      <c r="X54">
        <v>0.70202020200000004</v>
      </c>
      <c r="Y54">
        <v>45000</v>
      </c>
      <c r="AA54" s="2" t="s">
        <v>197</v>
      </c>
      <c r="AB54">
        <v>0.70202020200000004</v>
      </c>
      <c r="AD54" s="2" t="s">
        <v>173</v>
      </c>
      <c r="AT54">
        <v>0.76736816445925082</v>
      </c>
      <c r="BJ54">
        <v>40000</v>
      </c>
      <c r="BZ54">
        <v>0.54340542199999997</v>
      </c>
      <c r="CP54">
        <v>0.77490240523863496</v>
      </c>
      <c r="DF54">
        <v>19000</v>
      </c>
      <c r="DV54">
        <v>52000</v>
      </c>
      <c r="EL54">
        <v>5.4398770999999999E-2</v>
      </c>
      <c r="EM54">
        <v>0.76736816445925082</v>
      </c>
      <c r="EN54">
        <v>40000</v>
      </c>
      <c r="EO54">
        <v>0.54340542199999997</v>
      </c>
      <c r="EP54">
        <v>0.77490240523863496</v>
      </c>
      <c r="EQ54">
        <v>19000</v>
      </c>
      <c r="ER54">
        <v>52000</v>
      </c>
      <c r="ES54">
        <v>5.4398770999999999E-2</v>
      </c>
    </row>
    <row r="55" spans="1:149" x14ac:dyDescent="0.3">
      <c r="A55" s="2" t="s">
        <v>124</v>
      </c>
      <c r="B55">
        <v>66000</v>
      </c>
      <c r="D55" s="2" t="s">
        <v>68</v>
      </c>
      <c r="E55">
        <v>45000</v>
      </c>
      <c r="G55" s="2" t="s">
        <v>68</v>
      </c>
      <c r="H55">
        <v>45000</v>
      </c>
      <c r="I55">
        <v>4.6013198999999998E-2</v>
      </c>
      <c r="J55" s="2">
        <v>77000</v>
      </c>
      <c r="K55">
        <v>60000</v>
      </c>
      <c r="M55" s="2" t="s">
        <v>198</v>
      </c>
      <c r="N55">
        <v>25000</v>
      </c>
      <c r="Q55" s="2" t="s">
        <v>194</v>
      </c>
      <c r="R55">
        <v>0.6888896292841119</v>
      </c>
      <c r="T55" s="2" t="s">
        <v>71</v>
      </c>
      <c r="U55">
        <v>0.68602439999999998</v>
      </c>
      <c r="W55" s="2" t="s">
        <v>186</v>
      </c>
      <c r="X55">
        <v>0.41017964099999998</v>
      </c>
      <c r="Y55">
        <v>45000</v>
      </c>
      <c r="AA55" s="2" t="s">
        <v>186</v>
      </c>
      <c r="AB55">
        <v>0.41017964099999998</v>
      </c>
      <c r="AD55" s="2" t="s">
        <v>159</v>
      </c>
      <c r="AS55">
        <v>0.65582542535847166</v>
      </c>
      <c r="BI55">
        <v>40000</v>
      </c>
      <c r="BY55">
        <v>0.90558992999999999</v>
      </c>
      <c r="CO55">
        <v>0.70145446014896484</v>
      </c>
      <c r="DE55">
        <v>21000</v>
      </c>
      <c r="DU55">
        <v>45000</v>
      </c>
      <c r="EK55">
        <v>8.2009364000000001E-2</v>
      </c>
      <c r="EM55">
        <v>0.65582542535847166</v>
      </c>
      <c r="EN55">
        <v>40000</v>
      </c>
      <c r="EO55">
        <v>0.90558992999999999</v>
      </c>
      <c r="EP55">
        <v>0.70145446014896484</v>
      </c>
      <c r="EQ55">
        <v>21000</v>
      </c>
      <c r="ER55">
        <v>45000</v>
      </c>
      <c r="ES55">
        <v>8.2009364000000001E-2</v>
      </c>
    </row>
    <row r="56" spans="1:149" x14ac:dyDescent="0.3">
      <c r="A56" s="2" t="s">
        <v>203</v>
      </c>
      <c r="B56">
        <v>65000</v>
      </c>
      <c r="D56" s="2" t="s">
        <v>152</v>
      </c>
      <c r="E56">
        <v>45000</v>
      </c>
      <c r="G56" s="2" t="s">
        <v>152</v>
      </c>
      <c r="H56">
        <v>45000</v>
      </c>
      <c r="I56">
        <v>6.9666584000000004E-2</v>
      </c>
      <c r="J56" s="2">
        <v>78000</v>
      </c>
      <c r="K56">
        <v>64000</v>
      </c>
      <c r="M56" s="2" t="s">
        <v>204</v>
      </c>
      <c r="N56">
        <v>24000</v>
      </c>
      <c r="Q56" s="2" t="s">
        <v>89</v>
      </c>
      <c r="R56">
        <v>0.69011725293132331</v>
      </c>
      <c r="T56" s="2" t="s">
        <v>137</v>
      </c>
      <c r="U56">
        <v>0.68394261899999997</v>
      </c>
      <c r="W56" s="2" t="s">
        <v>99</v>
      </c>
      <c r="X56">
        <v>0</v>
      </c>
      <c r="Y56">
        <v>63000</v>
      </c>
      <c r="AA56" s="2" t="s">
        <v>99</v>
      </c>
      <c r="AB56">
        <v>0</v>
      </c>
      <c r="AD56" s="2" t="s">
        <v>197</v>
      </c>
      <c r="AM56">
        <v>0.67812203003231319</v>
      </c>
      <c r="BC56">
        <v>30000</v>
      </c>
      <c r="BS56">
        <v>0.70202020200000004</v>
      </c>
      <c r="CI56">
        <v>0.67755354360116937</v>
      </c>
      <c r="CY56">
        <v>15000</v>
      </c>
      <c r="DO56">
        <v>45000</v>
      </c>
      <c r="EE56">
        <v>5.3572714E-2</v>
      </c>
      <c r="EM56">
        <v>0.67812203003231319</v>
      </c>
      <c r="EN56">
        <v>30000</v>
      </c>
      <c r="EO56">
        <v>0.70202020200000004</v>
      </c>
      <c r="EP56">
        <v>0.67755354360116937</v>
      </c>
      <c r="EQ56">
        <v>15000</v>
      </c>
      <c r="ER56">
        <v>45000</v>
      </c>
      <c r="ES56">
        <v>5.3572714E-2</v>
      </c>
    </row>
    <row r="57" spans="1:149" x14ac:dyDescent="0.3">
      <c r="A57" s="2" t="s">
        <v>206</v>
      </c>
      <c r="B57">
        <v>65000</v>
      </c>
      <c r="D57" s="2" t="s">
        <v>186</v>
      </c>
      <c r="E57">
        <v>45000</v>
      </c>
      <c r="G57" s="2" t="s">
        <v>186</v>
      </c>
      <c r="H57">
        <v>45000</v>
      </c>
      <c r="I57">
        <v>0.156147487</v>
      </c>
      <c r="J57" s="2">
        <v>79000</v>
      </c>
      <c r="K57">
        <v>52000</v>
      </c>
      <c r="M57" s="2" t="s">
        <v>190</v>
      </c>
      <c r="N57">
        <v>24000</v>
      </c>
      <c r="Q57" s="2" t="s">
        <v>161</v>
      </c>
      <c r="R57">
        <v>0.6932974595504795</v>
      </c>
      <c r="T57" s="2" t="s">
        <v>46</v>
      </c>
      <c r="U57">
        <v>0.67314339199999995</v>
      </c>
      <c r="W57" s="2" t="s">
        <v>93</v>
      </c>
      <c r="X57">
        <v>0.18997043699999999</v>
      </c>
      <c r="Y57">
        <v>70000</v>
      </c>
      <c r="AA57" s="2" t="s">
        <v>93</v>
      </c>
      <c r="AB57">
        <v>0.18997043699999999</v>
      </c>
      <c r="AD57" s="2" t="s">
        <v>186</v>
      </c>
      <c r="AF57">
        <v>0.59119888042295132</v>
      </c>
      <c r="AV57">
        <v>30000</v>
      </c>
      <c r="BL57">
        <v>0.41017964099999998</v>
      </c>
      <c r="CB57">
        <v>0.75561038655857127</v>
      </c>
      <c r="CR57">
        <v>9000</v>
      </c>
      <c r="DH57">
        <v>45000</v>
      </c>
      <c r="DX57">
        <v>0.156147487</v>
      </c>
      <c r="EM57">
        <v>0.59119888042295132</v>
      </c>
      <c r="EN57">
        <v>30000</v>
      </c>
      <c r="EO57">
        <v>0.41017964099999998</v>
      </c>
      <c r="EP57">
        <v>0.75561038655857127</v>
      </c>
      <c r="EQ57">
        <v>9000</v>
      </c>
      <c r="ER57">
        <v>45000</v>
      </c>
      <c r="ES57">
        <v>0.156147487</v>
      </c>
    </row>
    <row r="58" spans="1:149" x14ac:dyDescent="0.3">
      <c r="A58" s="2" t="s">
        <v>49</v>
      </c>
      <c r="B58">
        <v>65000</v>
      </c>
      <c r="D58" s="2" t="s">
        <v>130</v>
      </c>
      <c r="E58">
        <v>45000</v>
      </c>
      <c r="G58" s="2" t="s">
        <v>130</v>
      </c>
      <c r="H58">
        <v>45000</v>
      </c>
      <c r="I58">
        <v>7.4330126999999996E-2</v>
      </c>
      <c r="J58" s="2">
        <v>80000</v>
      </c>
      <c r="K58">
        <v>60800</v>
      </c>
      <c r="M58" s="2" t="s">
        <v>155</v>
      </c>
      <c r="N58">
        <v>24000</v>
      </c>
      <c r="Q58" s="2" t="s">
        <v>119</v>
      </c>
      <c r="R58">
        <v>0.69411764705882351</v>
      </c>
      <c r="T58" s="2" t="s">
        <v>207</v>
      </c>
      <c r="U58">
        <v>0.67216144300000003</v>
      </c>
      <c r="W58" s="2" t="s">
        <v>72</v>
      </c>
      <c r="X58">
        <v>0.71836476599999999</v>
      </c>
      <c r="Y58">
        <v>50000</v>
      </c>
      <c r="AA58" s="2" t="s">
        <v>72</v>
      </c>
      <c r="AB58">
        <v>0.71836476599999999</v>
      </c>
      <c r="AD58" s="2" t="s">
        <v>99</v>
      </c>
      <c r="AL58">
        <v>0.86978548693899849</v>
      </c>
      <c r="BB58">
        <v>48000</v>
      </c>
      <c r="BR58">
        <v>0</v>
      </c>
      <c r="CH58">
        <v>0.82710760795065108</v>
      </c>
      <c r="CX58">
        <v>15000</v>
      </c>
      <c r="DN58">
        <v>63000</v>
      </c>
      <c r="ED58">
        <v>6.0196820999999998E-2</v>
      </c>
      <c r="EM58">
        <v>0.86978548693899849</v>
      </c>
      <c r="EN58">
        <v>48000</v>
      </c>
      <c r="EO58">
        <v>0</v>
      </c>
      <c r="EP58">
        <v>0.82710760795065108</v>
      </c>
      <c r="EQ58">
        <v>15000</v>
      </c>
      <c r="ER58">
        <v>63000</v>
      </c>
      <c r="ES58">
        <v>6.0196820999999998E-2</v>
      </c>
    </row>
    <row r="59" spans="1:149" x14ac:dyDescent="0.3">
      <c r="A59" s="2" t="s">
        <v>77</v>
      </c>
      <c r="B59">
        <v>65000</v>
      </c>
      <c r="D59" s="2" t="s">
        <v>197</v>
      </c>
      <c r="E59">
        <v>45000</v>
      </c>
      <c r="G59" s="2" t="s">
        <v>197</v>
      </c>
      <c r="H59">
        <v>45000</v>
      </c>
      <c r="I59">
        <v>5.3572714E-2</v>
      </c>
      <c r="J59" s="2">
        <v>81000</v>
      </c>
      <c r="K59">
        <v>65950</v>
      </c>
      <c r="M59" s="2" t="s">
        <v>125</v>
      </c>
      <c r="N59">
        <v>24000</v>
      </c>
      <c r="Q59" s="2" t="s">
        <v>36</v>
      </c>
      <c r="R59">
        <v>0.69445764395870235</v>
      </c>
      <c r="T59" s="2" t="s">
        <v>150</v>
      </c>
      <c r="U59">
        <v>0.66999850500000002</v>
      </c>
      <c r="W59" s="2" t="s">
        <v>211</v>
      </c>
      <c r="X59">
        <v>0.20002271699999999</v>
      </c>
      <c r="Y59">
        <v>53000</v>
      </c>
      <c r="AA59" s="2" t="s">
        <v>211</v>
      </c>
      <c r="AB59">
        <v>0.20002271699999999</v>
      </c>
      <c r="AD59" s="2" t="s">
        <v>93</v>
      </c>
      <c r="AL59">
        <v>0.84712795517696893</v>
      </c>
      <c r="BB59">
        <v>50000</v>
      </c>
      <c r="BR59">
        <v>0.18997043699999999</v>
      </c>
      <c r="CH59">
        <v>0.77019962810932185</v>
      </c>
      <c r="CX59">
        <v>20000</v>
      </c>
      <c r="DN59">
        <v>70000</v>
      </c>
      <c r="ED59">
        <v>5.8821008000000001E-2</v>
      </c>
      <c r="EM59">
        <v>0.84712795517696893</v>
      </c>
      <c r="EN59">
        <v>50000</v>
      </c>
      <c r="EO59">
        <v>0.18997043699999999</v>
      </c>
      <c r="EP59">
        <v>0.77019962810932185</v>
      </c>
      <c r="EQ59">
        <v>20000</v>
      </c>
      <c r="ER59">
        <v>70000</v>
      </c>
      <c r="ES59">
        <v>5.8821008000000001E-2</v>
      </c>
    </row>
    <row r="60" spans="1:149" x14ac:dyDescent="0.3">
      <c r="A60" s="2" t="s">
        <v>204</v>
      </c>
      <c r="B60">
        <v>65000</v>
      </c>
      <c r="D60" s="2" t="s">
        <v>102</v>
      </c>
      <c r="E60">
        <v>45000</v>
      </c>
      <c r="G60" s="2" t="s">
        <v>102</v>
      </c>
      <c r="H60">
        <v>45000</v>
      </c>
      <c r="I60">
        <v>7.2373874000000005E-2</v>
      </c>
      <c r="J60" s="2">
        <v>82000</v>
      </c>
      <c r="K60">
        <v>56000</v>
      </c>
      <c r="M60" s="2" t="s">
        <v>200</v>
      </c>
      <c r="N60">
        <v>23000</v>
      </c>
      <c r="Q60" s="2" t="s">
        <v>112</v>
      </c>
      <c r="R60">
        <v>0.6945931522156068</v>
      </c>
      <c r="T60" s="2" t="s">
        <v>177</v>
      </c>
      <c r="U60">
        <v>0.66703385299999995</v>
      </c>
      <c r="W60" s="2" t="s">
        <v>123</v>
      </c>
      <c r="X60">
        <v>0.56664050200000005</v>
      </c>
      <c r="Y60">
        <v>52000</v>
      </c>
      <c r="AA60" s="2" t="s">
        <v>123</v>
      </c>
      <c r="AB60">
        <v>0.56664050200000005</v>
      </c>
      <c r="AD60" s="2" t="s">
        <v>72</v>
      </c>
      <c r="AK60">
        <v>0.72446729179557967</v>
      </c>
      <c r="BA60">
        <v>35400</v>
      </c>
      <c r="BQ60">
        <v>0.71836476599999999</v>
      </c>
      <c r="CG60">
        <v>0.55886643050635554</v>
      </c>
      <c r="CW60">
        <v>11000</v>
      </c>
      <c r="DM60">
        <v>50000</v>
      </c>
      <c r="EC60">
        <v>3.9215237999999999E-2</v>
      </c>
      <c r="EM60">
        <v>0.72446729179557967</v>
      </c>
      <c r="EN60">
        <v>35400</v>
      </c>
      <c r="EO60">
        <v>0.71836476599999999</v>
      </c>
      <c r="EP60">
        <v>0.55886643050635554</v>
      </c>
      <c r="EQ60">
        <v>11000</v>
      </c>
      <c r="ER60">
        <v>50000</v>
      </c>
      <c r="ES60">
        <v>3.9215237999999999E-2</v>
      </c>
    </row>
    <row r="61" spans="1:149" x14ac:dyDescent="0.3">
      <c r="A61" s="2" t="s">
        <v>82</v>
      </c>
      <c r="B61">
        <v>65000</v>
      </c>
      <c r="D61" s="2" t="s">
        <v>159</v>
      </c>
      <c r="E61">
        <v>45000</v>
      </c>
      <c r="G61" s="2" t="s">
        <v>159</v>
      </c>
      <c r="H61">
        <v>45000</v>
      </c>
      <c r="I61">
        <v>8.2009364000000001E-2</v>
      </c>
      <c r="J61" s="2">
        <v>84000</v>
      </c>
      <c r="K61">
        <v>66666.666666666672</v>
      </c>
      <c r="M61" s="2" t="s">
        <v>29</v>
      </c>
      <c r="N61">
        <v>22300</v>
      </c>
      <c r="Q61" s="2" t="s">
        <v>180</v>
      </c>
      <c r="R61">
        <v>0.69754074031173308</v>
      </c>
      <c r="T61" s="2" t="s">
        <v>108</v>
      </c>
      <c r="U61">
        <v>0.666119448</v>
      </c>
      <c r="W61" s="2" t="s">
        <v>33</v>
      </c>
      <c r="X61">
        <v>0.71997408299999999</v>
      </c>
      <c r="Y61">
        <v>52000</v>
      </c>
      <c r="AA61" s="2" t="s">
        <v>33</v>
      </c>
      <c r="AB61">
        <v>0.71997408299999999</v>
      </c>
      <c r="AD61" s="2" t="s">
        <v>211</v>
      </c>
      <c r="AH61">
        <v>0.79517496869796445</v>
      </c>
      <c r="AX61">
        <v>47000</v>
      </c>
      <c r="BN61">
        <v>0.20002271699999999</v>
      </c>
      <c r="CD61">
        <v>0.75395365585433027</v>
      </c>
      <c r="CT61">
        <v>20000</v>
      </c>
      <c r="DJ61">
        <v>53000</v>
      </c>
      <c r="DZ61">
        <v>5.2678560999999999E-2</v>
      </c>
      <c r="EM61">
        <v>0.79517496869796445</v>
      </c>
      <c r="EN61">
        <v>47000</v>
      </c>
      <c r="EO61">
        <v>0.20002271699999999</v>
      </c>
      <c r="EP61">
        <v>0.75395365585433027</v>
      </c>
      <c r="EQ61">
        <v>20000</v>
      </c>
      <c r="ER61">
        <v>53000</v>
      </c>
      <c r="ES61">
        <v>5.2678560999999999E-2</v>
      </c>
    </row>
    <row r="62" spans="1:149" x14ac:dyDescent="0.3">
      <c r="A62" s="2" t="s">
        <v>145</v>
      </c>
      <c r="B62">
        <v>65000</v>
      </c>
      <c r="D62" s="2" t="s">
        <v>65</v>
      </c>
      <c r="E62">
        <v>46000</v>
      </c>
      <c r="G62" s="2" t="s">
        <v>65</v>
      </c>
      <c r="H62">
        <v>46000</v>
      </c>
      <c r="I62">
        <v>4.2199894000000002E-2</v>
      </c>
      <c r="J62" s="2">
        <v>84500</v>
      </c>
      <c r="K62">
        <v>70000</v>
      </c>
      <c r="M62" s="2" t="s">
        <v>117</v>
      </c>
      <c r="N62">
        <v>22000</v>
      </c>
      <c r="Q62" s="2" t="s">
        <v>113</v>
      </c>
      <c r="R62">
        <v>0.6982554897639468</v>
      </c>
      <c r="T62" s="2" t="s">
        <v>196</v>
      </c>
      <c r="U62">
        <v>0.65212981699999995</v>
      </c>
      <c r="W62" s="2" t="s">
        <v>89</v>
      </c>
      <c r="X62">
        <v>0.10185185200000001</v>
      </c>
      <c r="Y62">
        <v>92000</v>
      </c>
      <c r="AA62" s="2" t="s">
        <v>89</v>
      </c>
      <c r="AB62">
        <v>0.10185185200000001</v>
      </c>
      <c r="AD62" s="2" t="s">
        <v>123</v>
      </c>
      <c r="AG62">
        <v>0.74033545609471707</v>
      </c>
      <c r="AW62">
        <v>39300</v>
      </c>
      <c r="BM62">
        <v>0.56664050200000005</v>
      </c>
      <c r="CC62">
        <v>0.75871924869849261</v>
      </c>
      <c r="CS62">
        <v>10000</v>
      </c>
      <c r="DI62">
        <v>52000</v>
      </c>
      <c r="DY62">
        <v>4.7582435999999999E-2</v>
      </c>
      <c r="EM62">
        <v>0.74033545609471707</v>
      </c>
      <c r="EN62">
        <v>39300</v>
      </c>
      <c r="EO62">
        <v>0.56664050200000005</v>
      </c>
      <c r="EP62">
        <v>0.75871924869849261</v>
      </c>
      <c r="EQ62">
        <v>10000</v>
      </c>
      <c r="ER62">
        <v>52000</v>
      </c>
      <c r="ES62">
        <v>4.7582435999999999E-2</v>
      </c>
    </row>
    <row r="63" spans="1:149" x14ac:dyDescent="0.3">
      <c r="A63" s="2" t="s">
        <v>200</v>
      </c>
      <c r="B63">
        <v>65000</v>
      </c>
      <c r="D63" s="2" t="s">
        <v>40</v>
      </c>
      <c r="E63">
        <v>46000</v>
      </c>
      <c r="G63" s="2" t="s">
        <v>40</v>
      </c>
      <c r="H63">
        <v>46000</v>
      </c>
      <c r="I63">
        <v>6.7938958999999993E-2</v>
      </c>
      <c r="J63" s="2">
        <v>85000</v>
      </c>
      <c r="K63">
        <v>59600</v>
      </c>
      <c r="M63" s="2" t="s">
        <v>85</v>
      </c>
      <c r="N63">
        <v>22000</v>
      </c>
      <c r="Q63" s="2" t="s">
        <v>135</v>
      </c>
      <c r="R63">
        <v>0.70003717412034716</v>
      </c>
      <c r="T63" s="2" t="s">
        <v>212</v>
      </c>
      <c r="U63">
        <v>0.65174129400000003</v>
      </c>
      <c r="W63" s="2" t="s">
        <v>127</v>
      </c>
      <c r="X63">
        <v>0.42968496299999998</v>
      </c>
      <c r="Y63">
        <v>64000</v>
      </c>
      <c r="AA63" s="2" t="s">
        <v>127</v>
      </c>
      <c r="AB63">
        <v>0.42968496299999998</v>
      </c>
      <c r="AD63" s="2" t="s">
        <v>33</v>
      </c>
      <c r="AE63">
        <v>0.79380475594493116</v>
      </c>
      <c r="AU63">
        <v>40000</v>
      </c>
      <c r="BK63">
        <v>0.71997408299999999</v>
      </c>
      <c r="CA63">
        <v>0.74768978827933097</v>
      </c>
      <c r="CQ63">
        <v>-1000</v>
      </c>
      <c r="DG63">
        <v>52000</v>
      </c>
      <c r="DW63">
        <v>3.9230422000000001E-2</v>
      </c>
      <c r="EM63">
        <v>0.79380475594493116</v>
      </c>
      <c r="EN63">
        <v>40000</v>
      </c>
      <c r="EO63">
        <v>0.71997408299999999</v>
      </c>
      <c r="EP63">
        <v>0.74768978827933097</v>
      </c>
      <c r="EQ63">
        <v>-1000</v>
      </c>
      <c r="ER63">
        <v>52000</v>
      </c>
      <c r="ES63">
        <v>3.9230422000000001E-2</v>
      </c>
    </row>
    <row r="64" spans="1:149" x14ac:dyDescent="0.3">
      <c r="A64" s="2" t="s">
        <v>174</v>
      </c>
      <c r="B64">
        <v>65000</v>
      </c>
      <c r="D64" s="2" t="s">
        <v>29</v>
      </c>
      <c r="E64">
        <v>46000</v>
      </c>
      <c r="G64" s="2" t="s">
        <v>29</v>
      </c>
      <c r="H64">
        <v>46000</v>
      </c>
      <c r="I64">
        <v>4.2678899999999999E-2</v>
      </c>
      <c r="J64" s="2">
        <v>86000</v>
      </c>
      <c r="K64">
        <v>59500</v>
      </c>
      <c r="M64" s="2" t="s">
        <v>74</v>
      </c>
      <c r="N64">
        <v>22000</v>
      </c>
      <c r="Q64" s="2" t="s">
        <v>76</v>
      </c>
      <c r="R64">
        <v>0.70010721396844844</v>
      </c>
      <c r="T64" s="2" t="s">
        <v>116</v>
      </c>
      <c r="U64">
        <v>0.65165990799999995</v>
      </c>
      <c r="W64" s="2" t="s">
        <v>118</v>
      </c>
      <c r="X64">
        <v>0.61572722700000004</v>
      </c>
      <c r="Y64">
        <v>60000</v>
      </c>
      <c r="AA64" s="2" t="s">
        <v>118</v>
      </c>
      <c r="AB64">
        <v>0.61572722700000004</v>
      </c>
      <c r="AD64" s="2" t="s">
        <v>89</v>
      </c>
      <c r="AL64">
        <v>0.86556094929881333</v>
      </c>
      <c r="BB64">
        <v>72000</v>
      </c>
      <c r="BR64">
        <v>0.10185185200000001</v>
      </c>
      <c r="CH64">
        <v>0.69011725293132331</v>
      </c>
      <c r="CX64">
        <v>5000</v>
      </c>
      <c r="DN64">
        <v>92000</v>
      </c>
      <c r="ED64">
        <v>4.7031611000000001E-2</v>
      </c>
      <c r="EM64">
        <v>0.86556094929881333</v>
      </c>
      <c r="EN64">
        <v>72000</v>
      </c>
      <c r="EO64">
        <v>0.10185185200000001</v>
      </c>
      <c r="EP64">
        <v>0.69011725293132331</v>
      </c>
      <c r="EQ64">
        <v>5000</v>
      </c>
      <c r="ER64">
        <v>92000</v>
      </c>
      <c r="ES64">
        <v>4.7031611000000001E-2</v>
      </c>
    </row>
    <row r="65" spans="1:149" x14ac:dyDescent="0.3">
      <c r="A65" s="2" t="s">
        <v>127</v>
      </c>
      <c r="B65">
        <v>64000</v>
      </c>
      <c r="D65" s="2" t="s">
        <v>182</v>
      </c>
      <c r="E65">
        <v>46600</v>
      </c>
      <c r="G65" s="2" t="s">
        <v>182</v>
      </c>
      <c r="H65">
        <v>46600</v>
      </c>
      <c r="I65">
        <v>7.3919718999999995E-2</v>
      </c>
      <c r="J65" s="2">
        <v>88000</v>
      </c>
      <c r="K65">
        <v>65000</v>
      </c>
      <c r="M65" s="2" t="s">
        <v>158</v>
      </c>
      <c r="N65">
        <v>22000</v>
      </c>
      <c r="Q65" s="2" t="s">
        <v>78</v>
      </c>
      <c r="R65">
        <v>0.70034459653489045</v>
      </c>
      <c r="T65" s="2" t="s">
        <v>117</v>
      </c>
      <c r="U65">
        <v>0.64333112100000001</v>
      </c>
      <c r="W65" s="2" t="s">
        <v>88</v>
      </c>
      <c r="X65">
        <v>0.153037383</v>
      </c>
      <c r="Y65">
        <v>96000</v>
      </c>
      <c r="AA65" s="2" t="s">
        <v>88</v>
      </c>
      <c r="AB65">
        <v>0.153037383</v>
      </c>
      <c r="AD65" s="2" t="s">
        <v>127</v>
      </c>
      <c r="AO65">
        <v>1.0351515151515152</v>
      </c>
      <c r="BE65">
        <v>50250</v>
      </c>
      <c r="BU65">
        <v>0.42968496299999998</v>
      </c>
      <c r="CK65">
        <v>0.38238702201622249</v>
      </c>
      <c r="DA65">
        <v>10000</v>
      </c>
      <c r="DQ65">
        <v>64000</v>
      </c>
      <c r="EG65">
        <v>0.10179640700000001</v>
      </c>
      <c r="EM65">
        <v>1.0351515151515152</v>
      </c>
      <c r="EN65">
        <v>50250</v>
      </c>
      <c r="EO65">
        <v>0.42968496299999998</v>
      </c>
      <c r="EP65">
        <v>0.38238702201622249</v>
      </c>
      <c r="EQ65">
        <v>10000</v>
      </c>
      <c r="ER65">
        <v>64000</v>
      </c>
      <c r="ES65">
        <v>0.10179640700000001</v>
      </c>
    </row>
    <row r="66" spans="1:149" x14ac:dyDescent="0.3">
      <c r="A66" s="2" t="s">
        <v>28</v>
      </c>
      <c r="B66">
        <v>63000</v>
      </c>
      <c r="D66" s="2" t="s">
        <v>110</v>
      </c>
      <c r="E66">
        <v>46700</v>
      </c>
      <c r="G66" s="2" t="s">
        <v>110</v>
      </c>
      <c r="H66">
        <v>46700</v>
      </c>
      <c r="I66">
        <v>7.7843758999999998E-2</v>
      </c>
      <c r="J66" s="2">
        <v>89000</v>
      </c>
      <c r="K66">
        <v>67666.666666666672</v>
      </c>
      <c r="M66" s="2" t="s">
        <v>143</v>
      </c>
      <c r="N66">
        <v>22000</v>
      </c>
      <c r="Q66" s="2" t="s">
        <v>159</v>
      </c>
      <c r="R66">
        <v>0.70145446014896484</v>
      </c>
      <c r="T66" s="2" t="s">
        <v>195</v>
      </c>
      <c r="U66">
        <v>0.64</v>
      </c>
      <c r="W66" s="2" t="s">
        <v>191</v>
      </c>
      <c r="X66">
        <v>0.43429844099999998</v>
      </c>
      <c r="Y66">
        <v>60000</v>
      </c>
      <c r="AA66" s="2" t="s">
        <v>191</v>
      </c>
      <c r="AB66">
        <v>0.43429844099999998</v>
      </c>
      <c r="AD66" s="2" t="s">
        <v>118</v>
      </c>
      <c r="AG66">
        <v>0.74831579410858173</v>
      </c>
      <c r="AW66">
        <v>45000</v>
      </c>
      <c r="BM66">
        <v>0.61572722700000004</v>
      </c>
      <c r="CC66">
        <v>0.65938883646657476</v>
      </c>
      <c r="CS66">
        <v>25000</v>
      </c>
      <c r="DI66">
        <v>60000</v>
      </c>
      <c r="DY66">
        <v>5.0880749000000003E-2</v>
      </c>
      <c r="EM66">
        <v>0.74831579410858173</v>
      </c>
      <c r="EN66">
        <v>45000</v>
      </c>
      <c r="EO66">
        <v>0.61572722700000004</v>
      </c>
      <c r="EP66">
        <v>0.65938883646657476</v>
      </c>
      <c r="EQ66">
        <v>25000</v>
      </c>
      <c r="ER66">
        <v>60000</v>
      </c>
      <c r="ES66">
        <v>5.0880749000000003E-2</v>
      </c>
    </row>
    <row r="67" spans="1:149" x14ac:dyDescent="0.3">
      <c r="A67" s="2" t="s">
        <v>32</v>
      </c>
      <c r="B67">
        <v>63000</v>
      </c>
      <c r="D67" s="2" t="s">
        <v>183</v>
      </c>
      <c r="E67">
        <v>47000</v>
      </c>
      <c r="G67" s="2" t="s">
        <v>183</v>
      </c>
      <c r="H67">
        <v>47000</v>
      </c>
      <c r="I67">
        <v>8.5618911000000006E-2</v>
      </c>
      <c r="J67" s="2">
        <v>90000</v>
      </c>
      <c r="K67">
        <v>62833.333333333336</v>
      </c>
      <c r="M67" s="2" t="s">
        <v>54</v>
      </c>
      <c r="N67">
        <v>22000</v>
      </c>
      <c r="Q67" s="2" t="s">
        <v>145</v>
      </c>
      <c r="R67">
        <v>0.7015439936238439</v>
      </c>
      <c r="T67" s="2" t="s">
        <v>131</v>
      </c>
      <c r="U67">
        <v>0.63814682</v>
      </c>
      <c r="W67" s="2" t="s">
        <v>190</v>
      </c>
      <c r="X67">
        <v>0.17898193800000001</v>
      </c>
      <c r="Y67">
        <v>55000</v>
      </c>
      <c r="AA67" s="2" t="s">
        <v>190</v>
      </c>
      <c r="AB67">
        <v>0.17898193800000001</v>
      </c>
      <c r="AD67" s="2" t="s">
        <v>88</v>
      </c>
      <c r="AL67">
        <v>0.78714512177547202</v>
      </c>
      <c r="BB67">
        <v>58000</v>
      </c>
      <c r="BR67">
        <v>0.153037383</v>
      </c>
      <c r="CH67">
        <v>0.54134810422842872</v>
      </c>
      <c r="CX67">
        <v>2000</v>
      </c>
      <c r="DN67">
        <v>96000</v>
      </c>
      <c r="ED67">
        <v>4.4872677E-2</v>
      </c>
      <c r="EM67">
        <v>0.78714512177547202</v>
      </c>
      <c r="EN67">
        <v>58000</v>
      </c>
      <c r="EO67">
        <v>0.153037383</v>
      </c>
      <c r="EP67">
        <v>0.54134810422842872</v>
      </c>
      <c r="EQ67">
        <v>2000</v>
      </c>
      <c r="ER67">
        <v>96000</v>
      </c>
      <c r="ES67">
        <v>4.4872677E-2</v>
      </c>
    </row>
    <row r="68" spans="1:149" x14ac:dyDescent="0.3">
      <c r="A68" s="2" t="s">
        <v>99</v>
      </c>
      <c r="B68">
        <v>63000</v>
      </c>
      <c r="D68" s="2" t="s">
        <v>158</v>
      </c>
      <c r="E68">
        <v>47000</v>
      </c>
      <c r="G68" s="2" t="s">
        <v>158</v>
      </c>
      <c r="H68">
        <v>47000</v>
      </c>
      <c r="I68">
        <v>8.7336245000000007E-2</v>
      </c>
      <c r="J68" s="2">
        <v>92000</v>
      </c>
      <c r="K68">
        <v>71000</v>
      </c>
      <c r="M68" s="2" t="s">
        <v>102</v>
      </c>
      <c r="N68">
        <v>21000</v>
      </c>
      <c r="Q68" s="2" t="s">
        <v>77</v>
      </c>
      <c r="R68">
        <v>0.70180410966370521</v>
      </c>
      <c r="T68" s="2" t="s">
        <v>121</v>
      </c>
      <c r="U68">
        <v>0.63729337600000002</v>
      </c>
      <c r="W68" s="2" t="s">
        <v>98</v>
      </c>
      <c r="X68">
        <v>0.37743732600000002</v>
      </c>
      <c r="Y68">
        <v>60000</v>
      </c>
      <c r="AA68" s="2" t="s">
        <v>98</v>
      </c>
      <c r="AB68">
        <v>0.37743732600000002</v>
      </c>
      <c r="AD68" s="2" t="s">
        <v>191</v>
      </c>
      <c r="AM68">
        <v>0.75838622313321646</v>
      </c>
      <c r="BC68">
        <v>31000</v>
      </c>
      <c r="BS68">
        <v>0.43429844099999998</v>
      </c>
      <c r="CI68">
        <v>0.73628098672646825</v>
      </c>
      <c r="CY68">
        <v>16000</v>
      </c>
      <c r="DO68">
        <v>60000</v>
      </c>
      <c r="EE68">
        <v>3.6209865000000001E-2</v>
      </c>
      <c r="EM68">
        <v>0.75838622313321646</v>
      </c>
      <c r="EN68">
        <v>31000</v>
      </c>
      <c r="EO68">
        <v>0.43429844099999998</v>
      </c>
      <c r="EP68">
        <v>0.73628098672646825</v>
      </c>
      <c r="EQ68">
        <v>16000</v>
      </c>
      <c r="ER68">
        <v>60000</v>
      </c>
      <c r="ES68">
        <v>3.6209865000000001E-2</v>
      </c>
    </row>
    <row r="69" spans="1:149" x14ac:dyDescent="0.3">
      <c r="A69" s="2" t="s">
        <v>38</v>
      </c>
      <c r="B69">
        <v>63000</v>
      </c>
      <c r="D69" s="2" t="s">
        <v>172</v>
      </c>
      <c r="E69">
        <v>47000</v>
      </c>
      <c r="G69" s="2" t="s">
        <v>172</v>
      </c>
      <c r="H69">
        <v>47000</v>
      </c>
      <c r="I69">
        <v>6.5804303999999994E-2</v>
      </c>
      <c r="J69" s="2">
        <v>94000</v>
      </c>
      <c r="K69">
        <v>68000</v>
      </c>
      <c r="M69" s="2" t="s">
        <v>154</v>
      </c>
      <c r="N69">
        <v>21000</v>
      </c>
      <c r="Q69" s="2" t="s">
        <v>25</v>
      </c>
      <c r="R69">
        <v>0.70422480257202613</v>
      </c>
      <c r="T69" s="2" t="s">
        <v>170</v>
      </c>
      <c r="U69">
        <v>0.632986838</v>
      </c>
      <c r="W69" s="2" t="s">
        <v>87</v>
      </c>
      <c r="X69">
        <v>0.13979280099999999</v>
      </c>
      <c r="Y69">
        <v>80000</v>
      </c>
      <c r="AA69" s="2" t="s">
        <v>87</v>
      </c>
      <c r="AB69">
        <v>0.13979280099999999</v>
      </c>
      <c r="AD69" s="2" t="s">
        <v>190</v>
      </c>
      <c r="AM69">
        <v>0.48983014489362109</v>
      </c>
      <c r="BC69">
        <v>38000</v>
      </c>
      <c r="BS69">
        <v>0.17898193800000001</v>
      </c>
      <c r="CI69">
        <v>0.79729771751974621</v>
      </c>
      <c r="CY69">
        <v>24000</v>
      </c>
      <c r="DO69">
        <v>55000</v>
      </c>
      <c r="EE69">
        <v>3.1356845000000001E-2</v>
      </c>
      <c r="EM69">
        <v>0.48983014489362109</v>
      </c>
      <c r="EN69">
        <v>38000</v>
      </c>
      <c r="EO69">
        <v>0.17898193800000001</v>
      </c>
      <c r="EP69">
        <v>0.79729771751974621</v>
      </c>
      <c r="EQ69">
        <v>24000</v>
      </c>
      <c r="ER69">
        <v>55000</v>
      </c>
      <c r="ES69">
        <v>3.1356845000000001E-2</v>
      </c>
    </row>
    <row r="70" spans="1:149" x14ac:dyDescent="0.3">
      <c r="A70" s="2" t="s">
        <v>94</v>
      </c>
      <c r="B70">
        <v>63000</v>
      </c>
      <c r="D70" s="2" t="s">
        <v>196</v>
      </c>
      <c r="E70">
        <v>47000</v>
      </c>
      <c r="G70" s="2" t="s">
        <v>196</v>
      </c>
      <c r="H70">
        <v>47000</v>
      </c>
      <c r="I70">
        <v>6.6527701999999994E-2</v>
      </c>
      <c r="J70" s="2">
        <v>95000</v>
      </c>
      <c r="K70">
        <v>67800</v>
      </c>
      <c r="M70" s="2" t="s">
        <v>124</v>
      </c>
      <c r="N70">
        <v>21000</v>
      </c>
      <c r="Q70" s="2" t="s">
        <v>164</v>
      </c>
      <c r="R70">
        <v>0.70522272318533163</v>
      </c>
      <c r="T70" s="2" t="s">
        <v>213</v>
      </c>
      <c r="U70">
        <v>0.63071631800000005</v>
      </c>
      <c r="W70" s="2" t="s">
        <v>62</v>
      </c>
      <c r="X70">
        <v>0.79209526200000002</v>
      </c>
      <c r="Y70">
        <v>43000</v>
      </c>
      <c r="AA70" s="2" t="s">
        <v>62</v>
      </c>
      <c r="AB70">
        <v>0.79209526200000002</v>
      </c>
      <c r="AD70" s="2" t="s">
        <v>98</v>
      </c>
      <c r="AL70">
        <v>0.87941298057048367</v>
      </c>
      <c r="BB70">
        <v>42000</v>
      </c>
      <c r="BR70">
        <v>0.37743732600000002</v>
      </c>
      <c r="CH70">
        <v>0.82424696742537817</v>
      </c>
      <c r="CX70">
        <v>17000</v>
      </c>
      <c r="DN70">
        <v>60000</v>
      </c>
      <c r="ED70">
        <v>4.3533272999999997E-2</v>
      </c>
      <c r="EM70">
        <v>0.87941298057048367</v>
      </c>
      <c r="EN70">
        <v>42000</v>
      </c>
      <c r="EO70">
        <v>0.37743732600000002</v>
      </c>
      <c r="EP70">
        <v>0.82424696742537817</v>
      </c>
      <c r="EQ70">
        <v>17000</v>
      </c>
      <c r="ER70">
        <v>60000</v>
      </c>
      <c r="ES70">
        <v>4.3533272999999997E-2</v>
      </c>
    </row>
    <row r="71" spans="1:149" x14ac:dyDescent="0.3">
      <c r="A71" s="2" t="s">
        <v>30</v>
      </c>
      <c r="B71">
        <v>62000</v>
      </c>
      <c r="D71" s="2" t="s">
        <v>116</v>
      </c>
      <c r="E71">
        <v>47500</v>
      </c>
      <c r="G71" s="2" t="s">
        <v>116</v>
      </c>
      <c r="H71">
        <v>47500</v>
      </c>
      <c r="I71">
        <v>4.8916986000000003E-2</v>
      </c>
      <c r="J71" s="2">
        <v>96000</v>
      </c>
      <c r="K71">
        <v>70000</v>
      </c>
      <c r="M71" s="2" t="s">
        <v>176</v>
      </c>
      <c r="N71">
        <v>21000</v>
      </c>
      <c r="Q71" s="2" t="s">
        <v>166</v>
      </c>
      <c r="R71">
        <v>0.70675117737745774</v>
      </c>
      <c r="T71" s="2" t="s">
        <v>179</v>
      </c>
      <c r="U71">
        <v>0.62950456399999999</v>
      </c>
      <c r="W71" s="2" t="s">
        <v>133</v>
      </c>
      <c r="X71">
        <v>0.92780724599999997</v>
      </c>
      <c r="Y71">
        <v>92000</v>
      </c>
      <c r="AA71" s="2" t="s">
        <v>133</v>
      </c>
      <c r="AB71">
        <v>0.92780724599999997</v>
      </c>
      <c r="AD71" s="2" t="s">
        <v>87</v>
      </c>
      <c r="AL71">
        <v>0.85752486339639089</v>
      </c>
      <c r="BB71">
        <v>51000</v>
      </c>
      <c r="BR71">
        <v>0.13979280099999999</v>
      </c>
      <c r="CH71">
        <v>0.72602914042119993</v>
      </c>
      <c r="CX71">
        <v>18000</v>
      </c>
      <c r="DN71">
        <v>80000</v>
      </c>
      <c r="ED71">
        <v>4.3843856E-2</v>
      </c>
      <c r="EM71">
        <v>0.85752486339639089</v>
      </c>
      <c r="EN71">
        <v>51000</v>
      </c>
      <c r="EO71">
        <v>0.13979280099999999</v>
      </c>
      <c r="EP71">
        <v>0.72602914042119993</v>
      </c>
      <c r="EQ71">
        <v>18000</v>
      </c>
      <c r="ER71">
        <v>80000</v>
      </c>
      <c r="ES71">
        <v>4.3843856E-2</v>
      </c>
    </row>
    <row r="72" spans="1:149" x14ac:dyDescent="0.3">
      <c r="A72" s="2" t="s">
        <v>193</v>
      </c>
      <c r="B72">
        <v>62000</v>
      </c>
      <c r="D72" s="2" t="s">
        <v>100</v>
      </c>
      <c r="E72">
        <v>48000</v>
      </c>
      <c r="G72" s="2" t="s">
        <v>100</v>
      </c>
      <c r="H72">
        <v>48000</v>
      </c>
      <c r="I72">
        <v>8.1348088999999998E-2</v>
      </c>
      <c r="J72" s="2">
        <v>97000</v>
      </c>
      <c r="K72">
        <v>81000</v>
      </c>
      <c r="M72" s="2" t="s">
        <v>53</v>
      </c>
      <c r="N72">
        <v>21000</v>
      </c>
      <c r="Q72" s="2" t="s">
        <v>139</v>
      </c>
      <c r="R72">
        <v>0.70782212870117878</v>
      </c>
      <c r="T72" s="2" t="s">
        <v>168</v>
      </c>
      <c r="U72">
        <v>0.61822302799999995</v>
      </c>
      <c r="W72" s="2" t="s">
        <v>124</v>
      </c>
      <c r="X72">
        <v>0.244103081</v>
      </c>
      <c r="Y72">
        <v>66000</v>
      </c>
      <c r="AA72" s="2" t="s">
        <v>124</v>
      </c>
      <c r="AB72">
        <v>0.244103081</v>
      </c>
      <c r="AD72" s="2" t="s">
        <v>62</v>
      </c>
      <c r="AK72">
        <v>0.62483316738342898</v>
      </c>
      <c r="BA72">
        <v>26000</v>
      </c>
      <c r="BQ72">
        <v>0.79209526200000002</v>
      </c>
      <c r="CG72">
        <v>0.68601034763399604</v>
      </c>
      <c r="CW72">
        <v>15000</v>
      </c>
      <c r="DM72">
        <v>43000</v>
      </c>
      <c r="EC72">
        <v>3.2983017000000003E-2</v>
      </c>
      <c r="EM72">
        <v>0.62483316738342898</v>
      </c>
      <c r="EN72">
        <v>26000</v>
      </c>
      <c r="EO72">
        <v>0.79209526200000002</v>
      </c>
      <c r="EP72">
        <v>0.68601034763399604</v>
      </c>
      <c r="EQ72">
        <v>15000</v>
      </c>
      <c r="ER72">
        <v>43000</v>
      </c>
      <c r="ES72">
        <v>3.2983017000000003E-2</v>
      </c>
    </row>
    <row r="73" spans="1:149" x14ac:dyDescent="0.3">
      <c r="A73" s="2" t="s">
        <v>75</v>
      </c>
      <c r="B73">
        <v>62000</v>
      </c>
      <c r="D73" s="2" t="s">
        <v>45</v>
      </c>
      <c r="E73">
        <v>48000</v>
      </c>
      <c r="G73" s="2" t="s">
        <v>45</v>
      </c>
      <c r="H73">
        <v>48000</v>
      </c>
      <c r="I73">
        <v>8.3004759999999997E-2</v>
      </c>
      <c r="J73" s="2">
        <v>98000</v>
      </c>
      <c r="K73">
        <v>82666.666666666672</v>
      </c>
      <c r="M73" s="2" t="s">
        <v>188</v>
      </c>
      <c r="N73">
        <v>21000</v>
      </c>
      <c r="Q73" s="2" t="s">
        <v>152</v>
      </c>
      <c r="R73">
        <v>0.71145595741455114</v>
      </c>
      <c r="T73" s="2" t="s">
        <v>118</v>
      </c>
      <c r="U73">
        <v>0.61572722700000004</v>
      </c>
      <c r="W73" s="2" t="s">
        <v>149</v>
      </c>
      <c r="X73">
        <v>0.31082028499999997</v>
      </c>
      <c r="Y73">
        <v>75000</v>
      </c>
      <c r="AA73" s="2" t="s">
        <v>149</v>
      </c>
      <c r="AB73">
        <v>0.31082028499999997</v>
      </c>
      <c r="AD73" s="2" t="s">
        <v>133</v>
      </c>
      <c r="AJ73">
        <v>0.85784814436499834</v>
      </c>
      <c r="AZ73">
        <v>83000</v>
      </c>
      <c r="BP73">
        <v>0.92780724599999997</v>
      </c>
      <c r="CF73">
        <v>0.81765033407572385</v>
      </c>
      <c r="CV73">
        <v>6000</v>
      </c>
      <c r="DL73">
        <v>92000</v>
      </c>
      <c r="EB73">
        <v>2.4900398000000001E-2</v>
      </c>
      <c r="EM73">
        <v>0.85784814436499834</v>
      </c>
      <c r="EN73">
        <v>83000</v>
      </c>
      <c r="EO73">
        <v>0.92780724599999997</v>
      </c>
      <c r="EP73">
        <v>0.81765033407572385</v>
      </c>
      <c r="EQ73">
        <v>6000</v>
      </c>
      <c r="ER73">
        <v>92000</v>
      </c>
      <c r="ES73">
        <v>2.4900398000000001E-2</v>
      </c>
    </row>
    <row r="74" spans="1:149" x14ac:dyDescent="0.3">
      <c r="A74" s="2" t="s">
        <v>151</v>
      </c>
      <c r="B74">
        <v>62000</v>
      </c>
      <c r="D74" s="2" t="s">
        <v>175</v>
      </c>
      <c r="E74">
        <v>48000</v>
      </c>
      <c r="G74" s="2" t="s">
        <v>175</v>
      </c>
      <c r="H74">
        <v>48000</v>
      </c>
      <c r="I74">
        <v>5.2033988000000003E-2</v>
      </c>
      <c r="J74" s="2">
        <v>100000</v>
      </c>
      <c r="K74">
        <v>77777.777777777781</v>
      </c>
      <c r="M74" s="2" t="s">
        <v>159</v>
      </c>
      <c r="N74">
        <v>21000</v>
      </c>
      <c r="Q74" s="2" t="s">
        <v>30</v>
      </c>
      <c r="R74">
        <v>0.71173805601317952</v>
      </c>
      <c r="T74" s="2" t="s">
        <v>31</v>
      </c>
      <c r="U74">
        <v>0.606888545</v>
      </c>
      <c r="W74" s="2" t="s">
        <v>86</v>
      </c>
      <c r="X74">
        <v>0.292607004</v>
      </c>
      <c r="Y74">
        <v>78000</v>
      </c>
      <c r="AA74" s="2" t="s">
        <v>86</v>
      </c>
      <c r="AB74">
        <v>0.292607004</v>
      </c>
      <c r="AD74" s="2" t="s">
        <v>124</v>
      </c>
      <c r="AJ74">
        <v>0.74701497319349808</v>
      </c>
      <c r="AZ74">
        <v>58000</v>
      </c>
      <c r="BP74">
        <v>0.244103081</v>
      </c>
      <c r="CF74">
        <v>0.64902519835676953</v>
      </c>
      <c r="CV74">
        <v>21000</v>
      </c>
      <c r="DL74">
        <v>66000</v>
      </c>
      <c r="EB74">
        <v>5.2936080000000003E-2</v>
      </c>
      <c r="EM74">
        <v>0.74701497319349808</v>
      </c>
      <c r="EN74">
        <v>58000</v>
      </c>
      <c r="EO74">
        <v>0.244103081</v>
      </c>
      <c r="EP74">
        <v>0.64902519835676953</v>
      </c>
      <c r="EQ74">
        <v>21000</v>
      </c>
      <c r="ER74">
        <v>66000</v>
      </c>
      <c r="ES74">
        <v>5.2936080000000003E-2</v>
      </c>
    </row>
    <row r="75" spans="1:149" x14ac:dyDescent="0.3">
      <c r="A75" s="2" t="s">
        <v>157</v>
      </c>
      <c r="B75">
        <v>62000</v>
      </c>
      <c r="D75" s="2" t="s">
        <v>106</v>
      </c>
      <c r="E75">
        <v>48000</v>
      </c>
      <c r="G75" s="2" t="s">
        <v>106</v>
      </c>
      <c r="H75">
        <v>48000</v>
      </c>
      <c r="I75">
        <v>6.9847803999999999E-2</v>
      </c>
      <c r="J75" s="2">
        <v>102000</v>
      </c>
      <c r="K75">
        <v>95000</v>
      </c>
      <c r="M75" s="2" t="s">
        <v>114</v>
      </c>
      <c r="N75">
        <v>20000</v>
      </c>
      <c r="Q75" s="2" t="s">
        <v>92</v>
      </c>
      <c r="R75">
        <v>0.71325964036472922</v>
      </c>
      <c r="T75" s="2" t="s">
        <v>112</v>
      </c>
      <c r="U75">
        <v>0.60185815200000004</v>
      </c>
      <c r="W75" s="2" t="s">
        <v>45</v>
      </c>
      <c r="X75">
        <v>0.87722752800000003</v>
      </c>
      <c r="Y75">
        <v>48000</v>
      </c>
      <c r="AA75" s="2" t="s">
        <v>45</v>
      </c>
      <c r="AB75">
        <v>0.87722752800000003</v>
      </c>
      <c r="AD75" s="2" t="s">
        <v>149</v>
      </c>
      <c r="AL75">
        <v>0.76798499829526079</v>
      </c>
      <c r="BB75">
        <v>40000</v>
      </c>
      <c r="BR75">
        <v>0.31082028499999997</v>
      </c>
      <c r="CH75">
        <v>0.81381798002219752</v>
      </c>
      <c r="CX75">
        <v>15000</v>
      </c>
      <c r="DN75">
        <v>75000</v>
      </c>
      <c r="ED75">
        <v>2.2333333E-2</v>
      </c>
      <c r="EM75">
        <v>0.76798499829526079</v>
      </c>
      <c r="EN75">
        <v>40000</v>
      </c>
      <c r="EO75">
        <v>0.31082028499999997</v>
      </c>
      <c r="EP75">
        <v>0.81381798002219752</v>
      </c>
      <c r="EQ75">
        <v>15000</v>
      </c>
      <c r="ER75">
        <v>75000</v>
      </c>
      <c r="ES75">
        <v>2.2333333E-2</v>
      </c>
    </row>
    <row r="76" spans="1:149" x14ac:dyDescent="0.3">
      <c r="A76" s="2" t="s">
        <v>195</v>
      </c>
      <c r="B76">
        <v>61000</v>
      </c>
      <c r="D76" s="2" t="s">
        <v>101</v>
      </c>
      <c r="E76">
        <v>48000</v>
      </c>
      <c r="G76" s="2" t="s">
        <v>101</v>
      </c>
      <c r="H76">
        <v>48000</v>
      </c>
      <c r="I76">
        <v>5.8792542000000003E-2</v>
      </c>
      <c r="J76" s="2">
        <v>105000</v>
      </c>
      <c r="K76">
        <v>76500</v>
      </c>
      <c r="M76" s="2" t="s">
        <v>140</v>
      </c>
      <c r="N76">
        <v>20000</v>
      </c>
      <c r="Q76" s="2" t="s">
        <v>120</v>
      </c>
      <c r="R76">
        <v>0.71375954892688254</v>
      </c>
      <c r="T76" s="2" t="s">
        <v>66</v>
      </c>
      <c r="U76">
        <v>0.60175182500000002</v>
      </c>
      <c r="W76" s="2" t="s">
        <v>205</v>
      </c>
      <c r="X76">
        <v>0.38290043299999998</v>
      </c>
      <c r="Y76">
        <v>56000</v>
      </c>
      <c r="AA76" s="2" t="s">
        <v>205</v>
      </c>
      <c r="AB76">
        <v>0.38290043299999998</v>
      </c>
      <c r="AD76" s="2" t="s">
        <v>86</v>
      </c>
      <c r="AL76">
        <v>0.80826581330428271</v>
      </c>
      <c r="BB76">
        <v>50000</v>
      </c>
      <c r="BR76">
        <v>0.292607004</v>
      </c>
      <c r="CH76">
        <v>0.68534764349043398</v>
      </c>
      <c r="CX76">
        <v>14000</v>
      </c>
      <c r="DN76">
        <v>78000</v>
      </c>
      <c r="ED76">
        <v>5.9731114000000002E-2</v>
      </c>
      <c r="EM76">
        <v>0.80826581330428271</v>
      </c>
      <c r="EN76">
        <v>50000</v>
      </c>
      <c r="EO76">
        <v>0.292607004</v>
      </c>
      <c r="EP76">
        <v>0.68534764349043398</v>
      </c>
      <c r="EQ76">
        <v>14000</v>
      </c>
      <c r="ER76">
        <v>78000</v>
      </c>
      <c r="ES76">
        <v>5.9731114000000002E-2</v>
      </c>
    </row>
    <row r="77" spans="1:149" x14ac:dyDescent="0.3">
      <c r="A77" s="2" t="s">
        <v>118</v>
      </c>
      <c r="B77">
        <v>60000</v>
      </c>
      <c r="D77" s="2" t="s">
        <v>117</v>
      </c>
      <c r="E77">
        <v>48000</v>
      </c>
      <c r="G77" s="2" t="s">
        <v>117</v>
      </c>
      <c r="H77">
        <v>48000</v>
      </c>
      <c r="I77">
        <v>4.1590954999999999E-2</v>
      </c>
      <c r="J77" s="2">
        <v>106000</v>
      </c>
      <c r="K77">
        <v>90000</v>
      </c>
      <c r="M77" s="2" t="s">
        <v>109</v>
      </c>
      <c r="N77">
        <v>20000</v>
      </c>
      <c r="Q77" s="2" t="s">
        <v>73</v>
      </c>
      <c r="R77">
        <v>0.71394609207283133</v>
      </c>
      <c r="T77" s="2" t="s">
        <v>27</v>
      </c>
      <c r="U77">
        <v>0.59420764999999998</v>
      </c>
      <c r="W77" s="2" t="s">
        <v>210</v>
      </c>
      <c r="X77">
        <v>0.27879014600000002</v>
      </c>
      <c r="Y77">
        <v>72000</v>
      </c>
      <c r="AA77" s="2" t="s">
        <v>210</v>
      </c>
      <c r="AB77">
        <v>0.27879014600000002</v>
      </c>
      <c r="AD77" s="2" t="s">
        <v>45</v>
      </c>
      <c r="AI77">
        <v>0.73611811771883107</v>
      </c>
      <c r="AY77">
        <v>38000</v>
      </c>
      <c r="BO77">
        <v>0.87722752800000003</v>
      </c>
      <c r="CE77">
        <v>0.80711887999318221</v>
      </c>
      <c r="CU77">
        <v>7000</v>
      </c>
      <c r="DK77">
        <v>48000</v>
      </c>
      <c r="EA77">
        <v>8.3004759999999997E-2</v>
      </c>
      <c r="EM77">
        <v>0.73611811771883107</v>
      </c>
      <c r="EN77">
        <v>38000</v>
      </c>
      <c r="EO77">
        <v>0.87722752800000003</v>
      </c>
      <c r="EP77">
        <v>0.80711887999318221</v>
      </c>
      <c r="EQ77">
        <v>7000</v>
      </c>
      <c r="ER77">
        <v>48000</v>
      </c>
      <c r="ES77">
        <v>8.3004759999999997E-2</v>
      </c>
    </row>
    <row r="78" spans="1:149" x14ac:dyDescent="0.3">
      <c r="A78" s="2" t="s">
        <v>50</v>
      </c>
      <c r="B78">
        <v>60000</v>
      </c>
      <c r="D78" s="2" t="s">
        <v>63</v>
      </c>
      <c r="E78">
        <v>48400</v>
      </c>
      <c r="G78" s="2" t="s">
        <v>63</v>
      </c>
      <c r="H78">
        <v>48400</v>
      </c>
      <c r="I78">
        <v>4.6266957999999997E-2</v>
      </c>
      <c r="J78" s="2">
        <v>107000</v>
      </c>
      <c r="K78">
        <v>80000</v>
      </c>
      <c r="M78" s="2" t="s">
        <v>205</v>
      </c>
      <c r="N78">
        <v>20000</v>
      </c>
      <c r="Q78" s="2" t="s">
        <v>167</v>
      </c>
      <c r="R78">
        <v>0.71564153277376696</v>
      </c>
      <c r="T78" s="2" t="s">
        <v>106</v>
      </c>
      <c r="U78">
        <v>0.59100101100000002</v>
      </c>
      <c r="W78" s="2" t="s">
        <v>100</v>
      </c>
      <c r="X78">
        <v>0.76432029000000001</v>
      </c>
      <c r="Y78">
        <v>48000</v>
      </c>
      <c r="AA78" s="2" t="s">
        <v>100</v>
      </c>
      <c r="AB78">
        <v>0.76432029000000001</v>
      </c>
      <c r="AD78" s="2" t="s">
        <v>205</v>
      </c>
      <c r="AH78">
        <v>0.79192472967279881</v>
      </c>
      <c r="AX78">
        <v>51500</v>
      </c>
      <c r="BN78">
        <v>0.38290043299999998</v>
      </c>
      <c r="CD78">
        <v>0.79858768517455214</v>
      </c>
      <c r="CT78">
        <v>20000</v>
      </c>
      <c r="DJ78">
        <v>56000</v>
      </c>
      <c r="DZ78">
        <v>5.5032889000000002E-2</v>
      </c>
      <c r="EM78">
        <v>0.79192472967279881</v>
      </c>
      <c r="EN78">
        <v>51500</v>
      </c>
      <c r="EO78">
        <v>0.38290043299999998</v>
      </c>
      <c r="EP78">
        <v>0.79858768517455214</v>
      </c>
      <c r="EQ78">
        <v>20000</v>
      </c>
      <c r="ER78">
        <v>56000</v>
      </c>
      <c r="ES78">
        <v>5.5032889000000002E-2</v>
      </c>
    </row>
    <row r="79" spans="1:149" x14ac:dyDescent="0.3">
      <c r="A79" s="2" t="s">
        <v>198</v>
      </c>
      <c r="B79">
        <v>60000</v>
      </c>
      <c r="D79" s="2" t="s">
        <v>209</v>
      </c>
      <c r="E79">
        <v>49000</v>
      </c>
      <c r="G79" s="2" t="s">
        <v>209</v>
      </c>
      <c r="H79">
        <v>49000</v>
      </c>
      <c r="I79">
        <v>5.1446983000000002E-2</v>
      </c>
      <c r="J79" s="2">
        <v>110000</v>
      </c>
      <c r="K79">
        <v>77000</v>
      </c>
      <c r="M79" s="2" t="s">
        <v>135</v>
      </c>
      <c r="N79">
        <v>20000</v>
      </c>
      <c r="Q79" s="2" t="s">
        <v>115</v>
      </c>
      <c r="R79">
        <v>0.71713302833634784</v>
      </c>
      <c r="T79" s="2" t="s">
        <v>28</v>
      </c>
      <c r="U79">
        <v>0.58971190200000001</v>
      </c>
      <c r="W79" s="2" t="s">
        <v>111</v>
      </c>
      <c r="X79">
        <v>0.87795992700000003</v>
      </c>
      <c r="Y79">
        <v>40000</v>
      </c>
      <c r="AA79" s="2" t="s">
        <v>111</v>
      </c>
      <c r="AB79">
        <v>0.87795992700000003</v>
      </c>
      <c r="AD79" s="2" t="s">
        <v>210</v>
      </c>
      <c r="AH79">
        <v>0.87931855024613692</v>
      </c>
      <c r="AX79">
        <v>50000</v>
      </c>
      <c r="BN79">
        <v>0.27879014600000002</v>
      </c>
      <c r="CD79">
        <v>0.85833551409623865</v>
      </c>
      <c r="CT79">
        <v>17000</v>
      </c>
      <c r="DJ79">
        <v>72000</v>
      </c>
      <c r="DZ79">
        <v>4.3977136999999999E-2</v>
      </c>
      <c r="EM79">
        <v>0.87931855024613692</v>
      </c>
      <c r="EN79">
        <v>50000</v>
      </c>
      <c r="EO79">
        <v>0.27879014600000002</v>
      </c>
      <c r="EP79">
        <v>0.85833551409623865</v>
      </c>
      <c r="EQ79">
        <v>17000</v>
      </c>
      <c r="ER79">
        <v>72000</v>
      </c>
      <c r="ES79">
        <v>4.3977136999999999E-2</v>
      </c>
    </row>
    <row r="80" spans="1:149" x14ac:dyDescent="0.3">
      <c r="A80" s="2" t="s">
        <v>140</v>
      </c>
      <c r="B80">
        <v>60000</v>
      </c>
      <c r="D80" s="2" t="s">
        <v>168</v>
      </c>
      <c r="E80">
        <v>49000</v>
      </c>
      <c r="G80" s="2" t="s">
        <v>168</v>
      </c>
      <c r="H80">
        <v>49000</v>
      </c>
      <c r="I80">
        <v>6.4519170000000001E-2</v>
      </c>
      <c r="J80" s="2">
        <v>111000</v>
      </c>
      <c r="K80">
        <v>107000</v>
      </c>
      <c r="M80" s="2" t="s">
        <v>211</v>
      </c>
      <c r="N80">
        <v>20000</v>
      </c>
      <c r="Q80" s="2" t="s">
        <v>150</v>
      </c>
      <c r="R80">
        <v>0.72078242236881152</v>
      </c>
      <c r="T80" s="2" t="s">
        <v>185</v>
      </c>
      <c r="U80">
        <v>0.584776403</v>
      </c>
      <c r="W80" s="2" t="s">
        <v>109</v>
      </c>
      <c r="X80">
        <v>0.70089842999999996</v>
      </c>
      <c r="Y80">
        <v>50000</v>
      </c>
      <c r="AA80" s="2" t="s">
        <v>109</v>
      </c>
      <c r="AB80">
        <v>0.70089842999999996</v>
      </c>
      <c r="AD80" s="2" t="s">
        <v>100</v>
      </c>
      <c r="AN80">
        <v>0.66644764220163388</v>
      </c>
      <c r="BD80">
        <v>40000</v>
      </c>
      <c r="BT80">
        <v>0.76432029000000001</v>
      </c>
      <c r="CJ80">
        <v>0.60240661820005015</v>
      </c>
      <c r="CZ80">
        <v>16000</v>
      </c>
      <c r="DP80">
        <v>48000</v>
      </c>
      <c r="EF80">
        <v>8.1348088999999998E-2</v>
      </c>
      <c r="EM80">
        <v>0.66644764220163388</v>
      </c>
      <c r="EN80">
        <v>40000</v>
      </c>
      <c r="EO80">
        <v>0.76432029000000001</v>
      </c>
      <c r="EP80">
        <v>0.60240661820005015</v>
      </c>
      <c r="EQ80">
        <v>16000</v>
      </c>
      <c r="ER80">
        <v>48000</v>
      </c>
      <c r="ES80">
        <v>8.1348088999999998E-2</v>
      </c>
    </row>
    <row r="81" spans="1:149" x14ac:dyDescent="0.3">
      <c r="A81" s="2" t="s">
        <v>98</v>
      </c>
      <c r="B81">
        <v>60000</v>
      </c>
      <c r="D81" s="2" t="s">
        <v>131</v>
      </c>
      <c r="E81">
        <v>49500</v>
      </c>
      <c r="G81" s="2" t="s">
        <v>131</v>
      </c>
      <c r="H81">
        <v>49500</v>
      </c>
      <c r="I81">
        <v>6.3216549999999996E-2</v>
      </c>
      <c r="J81" s="2">
        <v>124000</v>
      </c>
      <c r="K81">
        <v>126000</v>
      </c>
      <c r="M81" s="2" t="s">
        <v>77</v>
      </c>
      <c r="N81">
        <v>20000</v>
      </c>
      <c r="Q81" s="2" t="s">
        <v>64</v>
      </c>
      <c r="R81">
        <v>0.72231170302841241</v>
      </c>
      <c r="T81" s="2" t="s">
        <v>34</v>
      </c>
      <c r="U81">
        <v>0.58455613299999998</v>
      </c>
      <c r="W81" s="2" t="s">
        <v>70</v>
      </c>
      <c r="X81">
        <v>0.57636006100000003</v>
      </c>
      <c r="Y81">
        <v>42000</v>
      </c>
      <c r="AA81" s="2" t="s">
        <v>70</v>
      </c>
      <c r="AB81">
        <v>0.57636006100000003</v>
      </c>
      <c r="AD81" s="2" t="s">
        <v>111</v>
      </c>
      <c r="AK81">
        <v>0.61063319701029473</v>
      </c>
      <c r="BA81">
        <v>25000</v>
      </c>
      <c r="BQ81">
        <v>0.87795992700000003</v>
      </c>
      <c r="CG81">
        <v>0.43790526770826899</v>
      </c>
      <c r="CW81">
        <v>12000</v>
      </c>
      <c r="DM81">
        <v>40000</v>
      </c>
      <c r="EC81">
        <v>9.4842992000000001E-2</v>
      </c>
      <c r="EM81">
        <v>0.61063319701029473</v>
      </c>
      <c r="EN81">
        <v>25000</v>
      </c>
      <c r="EO81">
        <v>0.87795992700000003</v>
      </c>
      <c r="EP81">
        <v>0.43790526770826899</v>
      </c>
      <c r="EQ81">
        <v>12000</v>
      </c>
      <c r="ER81">
        <v>40000</v>
      </c>
      <c r="ES81">
        <v>9.4842992000000001E-2</v>
      </c>
    </row>
    <row r="82" spans="1:149" x14ac:dyDescent="0.3">
      <c r="A82" s="2" t="s">
        <v>162</v>
      </c>
      <c r="B82">
        <v>60000</v>
      </c>
      <c r="D82" s="2" t="s">
        <v>109</v>
      </c>
      <c r="E82">
        <v>50000</v>
      </c>
      <c r="G82" s="2" t="s">
        <v>109</v>
      </c>
      <c r="H82">
        <v>50000</v>
      </c>
      <c r="I82">
        <v>6.7578521000000003E-2</v>
      </c>
      <c r="J82" s="2">
        <v>135000</v>
      </c>
      <c r="K82">
        <v>51000</v>
      </c>
      <c r="M82" s="2" t="s">
        <v>93</v>
      </c>
      <c r="N82">
        <v>20000</v>
      </c>
      <c r="Q82" s="2" t="s">
        <v>171</v>
      </c>
      <c r="R82">
        <v>0.7231799998931846</v>
      </c>
      <c r="T82" s="2" t="s">
        <v>202</v>
      </c>
      <c r="U82">
        <v>0.58094800400000002</v>
      </c>
      <c r="W82" s="2" t="s">
        <v>44</v>
      </c>
      <c r="X82">
        <v>0.71985895200000005</v>
      </c>
      <c r="Y82">
        <v>50000</v>
      </c>
      <c r="AA82" s="2" t="s">
        <v>44</v>
      </c>
      <c r="AB82">
        <v>0.71985895200000005</v>
      </c>
      <c r="AD82" s="2" t="s">
        <v>109</v>
      </c>
      <c r="AN82">
        <v>0.73294281508994108</v>
      </c>
      <c r="BD82">
        <v>42000</v>
      </c>
      <c r="BT82">
        <v>0.70089842999999996</v>
      </c>
      <c r="CJ82">
        <v>0.67351606148155174</v>
      </c>
      <c r="CZ82">
        <v>20000</v>
      </c>
      <c r="DP82">
        <v>50000</v>
      </c>
      <c r="EF82">
        <v>6.7578521000000003E-2</v>
      </c>
      <c r="EM82">
        <v>0.73294281508994108</v>
      </c>
      <c r="EN82">
        <v>42000</v>
      </c>
      <c r="EO82">
        <v>0.70089842999999996</v>
      </c>
      <c r="EP82">
        <v>0.67351606148155174</v>
      </c>
      <c r="EQ82">
        <v>20000</v>
      </c>
      <c r="ER82">
        <v>50000</v>
      </c>
      <c r="ES82">
        <v>6.7578521000000003E-2</v>
      </c>
    </row>
    <row r="83" spans="1:149" x14ac:dyDescent="0.3">
      <c r="A83" s="2" t="s">
        <v>191</v>
      </c>
      <c r="B83">
        <v>60000</v>
      </c>
      <c r="D83" s="2" t="s">
        <v>160</v>
      </c>
      <c r="E83">
        <v>50000</v>
      </c>
      <c r="G83" s="2" t="s">
        <v>160</v>
      </c>
      <c r="H83">
        <v>50000</v>
      </c>
      <c r="I83">
        <v>5.4035589000000002E-2</v>
      </c>
      <c r="J83" s="2" t="s">
        <v>215</v>
      </c>
      <c r="K83">
        <v>58583.815028901736</v>
      </c>
      <c r="M83" s="2" t="s">
        <v>193</v>
      </c>
      <c r="N83">
        <v>20000</v>
      </c>
      <c r="Q83" s="2" t="s">
        <v>67</v>
      </c>
      <c r="R83">
        <v>0.72331300229141748</v>
      </c>
      <c r="T83" s="2" t="s">
        <v>51</v>
      </c>
      <c r="U83">
        <v>0.57876633799999999</v>
      </c>
      <c r="W83" s="2" t="s">
        <v>170</v>
      </c>
      <c r="X83">
        <v>0.632986838</v>
      </c>
      <c r="Y83">
        <v>55000</v>
      </c>
      <c r="AA83" s="2" t="s">
        <v>170</v>
      </c>
      <c r="AB83">
        <v>0.632986838</v>
      </c>
      <c r="AD83" s="2" t="s">
        <v>70</v>
      </c>
      <c r="AK83">
        <v>0.6075691307354486</v>
      </c>
      <c r="BA83">
        <v>22000</v>
      </c>
      <c r="BQ83">
        <v>0.57636006100000003</v>
      </c>
      <c r="CG83">
        <v>0.61366805368017852</v>
      </c>
      <c r="CW83">
        <v>14800</v>
      </c>
      <c r="DM83">
        <v>42000</v>
      </c>
      <c r="EC83">
        <v>4.8080293000000003E-2</v>
      </c>
      <c r="EM83">
        <v>0.6075691307354486</v>
      </c>
      <c r="EN83">
        <v>22000</v>
      </c>
      <c r="EO83">
        <v>0.57636006100000003</v>
      </c>
      <c r="EP83">
        <v>0.61366805368017852</v>
      </c>
      <c r="EQ83">
        <v>14800</v>
      </c>
      <c r="ER83">
        <v>42000</v>
      </c>
      <c r="ES83">
        <v>4.8080293000000003E-2</v>
      </c>
    </row>
    <row r="84" spans="1:149" x14ac:dyDescent="0.3">
      <c r="A84" s="2" t="s">
        <v>143</v>
      </c>
      <c r="B84">
        <v>60000</v>
      </c>
      <c r="D84" s="2" t="s">
        <v>104</v>
      </c>
      <c r="E84">
        <v>50000</v>
      </c>
      <c r="G84" s="2" t="s">
        <v>104</v>
      </c>
      <c r="H84">
        <v>50000</v>
      </c>
      <c r="I84">
        <v>6.6512583E-2</v>
      </c>
      <c r="M84" s="2" t="s">
        <v>167</v>
      </c>
      <c r="N84">
        <v>20000</v>
      </c>
      <c r="Q84" s="2" t="s">
        <v>142</v>
      </c>
      <c r="R84">
        <v>0.72340425531914898</v>
      </c>
      <c r="T84" s="2" t="s">
        <v>70</v>
      </c>
      <c r="U84">
        <v>0.57636006100000003</v>
      </c>
      <c r="W84" s="2" t="s">
        <v>208</v>
      </c>
      <c r="X84">
        <v>0.28290282900000002</v>
      </c>
      <c r="Y84">
        <v>54000</v>
      </c>
      <c r="AA84" s="2" t="s">
        <v>208</v>
      </c>
      <c r="AB84">
        <v>0.28290282900000002</v>
      </c>
      <c r="AD84" s="2" t="s">
        <v>44</v>
      </c>
      <c r="AI84">
        <v>0.74865951316316726</v>
      </c>
      <c r="AY84">
        <v>45000</v>
      </c>
      <c r="BO84">
        <v>0.71985895200000005</v>
      </c>
      <c r="CE84">
        <v>0.75205690450222906</v>
      </c>
      <c r="CU84">
        <v>17000</v>
      </c>
      <c r="DK84">
        <v>50000</v>
      </c>
      <c r="EA84">
        <v>6.1916751999999999E-2</v>
      </c>
      <c r="EM84">
        <v>0.74865951316316726</v>
      </c>
      <c r="EN84">
        <v>45000</v>
      </c>
      <c r="EO84">
        <v>0.71985895200000005</v>
      </c>
      <c r="EP84">
        <v>0.75205690450222906</v>
      </c>
      <c r="EQ84">
        <v>17000</v>
      </c>
      <c r="ER84">
        <v>50000</v>
      </c>
      <c r="ES84">
        <v>6.1916751999999999E-2</v>
      </c>
    </row>
    <row r="85" spans="1:149" x14ac:dyDescent="0.3">
      <c r="A85" s="2" t="s">
        <v>119</v>
      </c>
      <c r="B85">
        <v>60000</v>
      </c>
      <c r="D85" s="2" t="s">
        <v>46</v>
      </c>
      <c r="E85">
        <v>50000</v>
      </c>
      <c r="G85" s="2" t="s">
        <v>46</v>
      </c>
      <c r="H85">
        <v>50000</v>
      </c>
      <c r="I85">
        <v>6.7216257000000001E-2</v>
      </c>
      <c r="M85" s="2" t="s">
        <v>130</v>
      </c>
      <c r="N85">
        <v>20000</v>
      </c>
      <c r="Q85" s="2" t="s">
        <v>82</v>
      </c>
      <c r="R85">
        <v>0.7243708094451462</v>
      </c>
      <c r="T85" s="2" t="s">
        <v>123</v>
      </c>
      <c r="U85">
        <v>0.56664050200000005</v>
      </c>
      <c r="W85" s="2" t="s">
        <v>135</v>
      </c>
      <c r="X85">
        <v>0.72186591300000003</v>
      </c>
      <c r="Y85">
        <v>45000</v>
      </c>
      <c r="AA85" s="2" t="s">
        <v>135</v>
      </c>
      <c r="AB85">
        <v>0.72186591300000003</v>
      </c>
      <c r="AD85" s="2" t="s">
        <v>170</v>
      </c>
      <c r="AT85">
        <v>0.74413054239445586</v>
      </c>
      <c r="BJ85">
        <v>49000</v>
      </c>
      <c r="BZ85">
        <v>0.632986838</v>
      </c>
      <c r="CP85">
        <v>0.73107495056287242</v>
      </c>
      <c r="DF85">
        <v>26000</v>
      </c>
      <c r="DV85">
        <v>55000</v>
      </c>
      <c r="EL85">
        <v>7.0313269999999997E-2</v>
      </c>
      <c r="EM85">
        <v>0.74413054239445586</v>
      </c>
      <c r="EN85">
        <v>49000</v>
      </c>
      <c r="EO85">
        <v>0.632986838</v>
      </c>
      <c r="EP85">
        <v>0.73107495056287242</v>
      </c>
      <c r="EQ85">
        <v>26000</v>
      </c>
      <c r="ER85">
        <v>55000</v>
      </c>
      <c r="ES85">
        <v>7.0313269999999997E-2</v>
      </c>
    </row>
    <row r="86" spans="1:149" x14ac:dyDescent="0.3">
      <c r="A86" s="2" t="s">
        <v>144</v>
      </c>
      <c r="B86">
        <v>59000</v>
      </c>
      <c r="D86" s="2" t="s">
        <v>114</v>
      </c>
      <c r="E86">
        <v>50000</v>
      </c>
      <c r="G86" s="2" t="s">
        <v>114</v>
      </c>
      <c r="H86">
        <v>50000</v>
      </c>
      <c r="I86">
        <v>3.4023514999999997E-2</v>
      </c>
      <c r="J86" t="str">
        <f>J22</f>
        <v>Row Labels</v>
      </c>
      <c r="K86" t="str">
        <f>K22</f>
        <v>Average of Nongrad_median</v>
      </c>
      <c r="M86" s="2" t="s">
        <v>184</v>
      </c>
      <c r="N86">
        <v>19500</v>
      </c>
      <c r="Q86" s="2" t="s">
        <v>169</v>
      </c>
      <c r="R86">
        <v>0.72490751410030929</v>
      </c>
      <c r="T86" s="2" t="s">
        <v>60</v>
      </c>
      <c r="U86">
        <v>0.56486557000000004</v>
      </c>
      <c r="W86" s="2" t="s">
        <v>130</v>
      </c>
      <c r="X86">
        <v>0.50737696799999998</v>
      </c>
      <c r="Y86">
        <v>45000</v>
      </c>
      <c r="AA86" s="2" t="s">
        <v>130</v>
      </c>
      <c r="AB86">
        <v>0.50737696799999998</v>
      </c>
      <c r="AD86" s="2" t="s">
        <v>208</v>
      </c>
      <c r="AH86">
        <v>0.76764028712022025</v>
      </c>
      <c r="AX86">
        <v>41400</v>
      </c>
      <c r="BN86">
        <v>0.28290282900000002</v>
      </c>
      <c r="CD86">
        <v>0.77213469046291128</v>
      </c>
      <c r="CT86">
        <v>15000</v>
      </c>
      <c r="DJ86">
        <v>54000</v>
      </c>
      <c r="DZ86">
        <v>7.1353708000000002E-2</v>
      </c>
      <c r="EM86">
        <v>0.76764028712022025</v>
      </c>
      <c r="EN86">
        <v>41400</v>
      </c>
      <c r="EO86">
        <v>0.28290282900000002</v>
      </c>
      <c r="EP86">
        <v>0.77213469046291128</v>
      </c>
      <c r="EQ86">
        <v>15000</v>
      </c>
      <c r="ER86">
        <v>54000</v>
      </c>
      <c r="ES86">
        <v>7.1353708000000002E-2</v>
      </c>
    </row>
    <row r="87" spans="1:149" x14ac:dyDescent="0.3">
      <c r="A87" s="2" t="s">
        <v>36</v>
      </c>
      <c r="B87">
        <v>58000</v>
      </c>
      <c r="D87" s="2" t="s">
        <v>47</v>
      </c>
      <c r="E87">
        <v>50000</v>
      </c>
      <c r="G87" s="2" t="s">
        <v>47</v>
      </c>
      <c r="H87">
        <v>50000</v>
      </c>
      <c r="I87">
        <v>8.5008668999999995E-2</v>
      </c>
      <c r="J87">
        <f t="shared" ref="J87:K87" si="0">J23</f>
        <v>47000</v>
      </c>
      <c r="K87">
        <f t="shared" si="0"/>
        <v>41600</v>
      </c>
      <c r="M87" s="2" t="s">
        <v>36</v>
      </c>
      <c r="N87">
        <v>19000</v>
      </c>
      <c r="Q87" s="2" t="s">
        <v>185</v>
      </c>
      <c r="R87">
        <v>0.72584189215879913</v>
      </c>
      <c r="T87" s="2" t="s">
        <v>37</v>
      </c>
      <c r="U87">
        <v>0.56463933499999996</v>
      </c>
      <c r="W87" s="2" t="s">
        <v>52</v>
      </c>
      <c r="X87">
        <v>0.52647576399999996</v>
      </c>
      <c r="Y87">
        <v>68000</v>
      </c>
      <c r="AA87" s="2" t="s">
        <v>52</v>
      </c>
      <c r="AB87">
        <v>0.52647576399999996</v>
      </c>
      <c r="AD87" s="2" t="s">
        <v>135</v>
      </c>
      <c r="AT87">
        <v>0.71753786479497594</v>
      </c>
      <c r="BJ87">
        <v>34000</v>
      </c>
      <c r="BZ87">
        <v>0.72186591300000003</v>
      </c>
      <c r="CP87">
        <v>0.70003717412034716</v>
      </c>
      <c r="DF87">
        <v>20000</v>
      </c>
      <c r="DV87">
        <v>45000</v>
      </c>
      <c r="EL87">
        <v>6.5383452999999994E-2</v>
      </c>
      <c r="EM87">
        <v>0.71753786479497594</v>
      </c>
      <c r="EN87">
        <v>34000</v>
      </c>
      <c r="EO87">
        <v>0.72186591300000003</v>
      </c>
      <c r="EP87">
        <v>0.70003717412034716</v>
      </c>
      <c r="EQ87">
        <v>20000</v>
      </c>
      <c r="ER87">
        <v>45000</v>
      </c>
      <c r="ES87">
        <v>6.5383452999999994E-2</v>
      </c>
    </row>
    <row r="88" spans="1:149" x14ac:dyDescent="0.3">
      <c r="A88" s="2" t="s">
        <v>59</v>
      </c>
      <c r="B88">
        <v>58000</v>
      </c>
      <c r="D88" s="2" t="s">
        <v>213</v>
      </c>
      <c r="E88">
        <v>50000</v>
      </c>
      <c r="G88" s="2" t="s">
        <v>213</v>
      </c>
      <c r="H88">
        <v>50000</v>
      </c>
      <c r="I88">
        <v>7.3499610000000007E-2</v>
      </c>
      <c r="J88">
        <f t="shared" ref="J88:K88" si="1">J24</f>
        <v>48000</v>
      </c>
      <c r="K88">
        <f t="shared" si="1"/>
        <v>40000</v>
      </c>
      <c r="M88" s="2" t="s">
        <v>165</v>
      </c>
      <c r="N88">
        <v>19000</v>
      </c>
      <c r="Q88" s="2" t="s">
        <v>87</v>
      </c>
      <c r="R88">
        <v>0.72602914042119993</v>
      </c>
      <c r="T88" s="2" t="s">
        <v>83</v>
      </c>
      <c r="U88">
        <v>0.55854800900000001</v>
      </c>
      <c r="W88" s="2" t="s">
        <v>97</v>
      </c>
      <c r="X88">
        <v>0.75047258999999999</v>
      </c>
      <c r="Y88">
        <v>70000</v>
      </c>
      <c r="AA88" s="2" t="s">
        <v>97</v>
      </c>
      <c r="AB88">
        <v>0.75047258999999999</v>
      </c>
      <c r="AD88" s="2" t="s">
        <v>130</v>
      </c>
      <c r="AN88">
        <v>0.63782066150206429</v>
      </c>
      <c r="BD88">
        <v>39000</v>
      </c>
      <c r="BT88">
        <v>0.50737696799999998</v>
      </c>
      <c r="CJ88">
        <v>0.76200070696359135</v>
      </c>
      <c r="CZ88">
        <v>20000</v>
      </c>
      <c r="DP88">
        <v>45000</v>
      </c>
      <c r="EF88">
        <v>7.4330126999999996E-2</v>
      </c>
      <c r="EM88">
        <v>0.63782066150206429</v>
      </c>
      <c r="EN88">
        <v>39000</v>
      </c>
      <c r="EO88">
        <v>0.50737696799999998</v>
      </c>
      <c r="EP88">
        <v>0.76200070696359135</v>
      </c>
      <c r="EQ88">
        <v>20000</v>
      </c>
      <c r="ER88">
        <v>45000</v>
      </c>
      <c r="ES88">
        <v>7.4330126999999996E-2</v>
      </c>
    </row>
    <row r="89" spans="1:149" x14ac:dyDescent="0.3">
      <c r="A89" s="2" t="s">
        <v>171</v>
      </c>
      <c r="B89">
        <v>58000</v>
      </c>
      <c r="D89" s="2" t="s">
        <v>42</v>
      </c>
      <c r="E89">
        <v>50000</v>
      </c>
      <c r="G89" s="2" t="s">
        <v>42</v>
      </c>
      <c r="H89">
        <v>50000</v>
      </c>
      <c r="I89">
        <v>6.4360314000000002E-2</v>
      </c>
      <c r="J89">
        <f t="shared" ref="J89:K89" si="2">J25</f>
        <v>50000</v>
      </c>
      <c r="K89">
        <f t="shared" si="2"/>
        <v>38500</v>
      </c>
      <c r="M89" s="2" t="s">
        <v>138</v>
      </c>
      <c r="N89">
        <v>19000</v>
      </c>
      <c r="Q89" s="2" t="s">
        <v>81</v>
      </c>
      <c r="R89">
        <v>0.72949778678383137</v>
      </c>
      <c r="T89" s="2" t="s">
        <v>192</v>
      </c>
      <c r="U89">
        <v>0.55660377400000005</v>
      </c>
      <c r="W89" s="2" t="s">
        <v>157</v>
      </c>
      <c r="X89">
        <v>0.43630163300000002</v>
      </c>
      <c r="Y89">
        <v>62000</v>
      </c>
      <c r="AA89" s="2" t="s">
        <v>157</v>
      </c>
      <c r="AB89">
        <v>0.43630163300000002</v>
      </c>
      <c r="AD89" s="2" t="s">
        <v>52</v>
      </c>
      <c r="AJ89">
        <v>0.86762158661304656</v>
      </c>
      <c r="AZ89">
        <v>48800</v>
      </c>
      <c r="BP89">
        <v>0.52647576399999996</v>
      </c>
      <c r="CF89">
        <v>0.85332562174667437</v>
      </c>
      <c r="CV89">
        <v>14000</v>
      </c>
      <c r="DL89">
        <v>68000</v>
      </c>
      <c r="EB89">
        <v>5.2841063000000001E-2</v>
      </c>
      <c r="EM89">
        <v>0.86762158661304656</v>
      </c>
      <c r="EN89">
        <v>48800</v>
      </c>
      <c r="EO89">
        <v>0.52647576399999996</v>
      </c>
      <c r="EP89">
        <v>0.85332562174667437</v>
      </c>
      <c r="EQ89">
        <v>14000</v>
      </c>
      <c r="ER89">
        <v>68000</v>
      </c>
      <c r="ES89">
        <v>5.2841063000000001E-2</v>
      </c>
    </row>
    <row r="90" spans="1:149" x14ac:dyDescent="0.3">
      <c r="A90" s="2" t="s">
        <v>202</v>
      </c>
      <c r="B90">
        <v>58000</v>
      </c>
      <c r="D90" s="2" t="s">
        <v>25</v>
      </c>
      <c r="E90">
        <v>50000</v>
      </c>
      <c r="G90" s="2" t="s">
        <v>25</v>
      </c>
      <c r="H90">
        <v>50000</v>
      </c>
      <c r="I90">
        <v>2.6147106E-2</v>
      </c>
      <c r="J90">
        <f t="shared" ref="J90:K90" si="3">J26</f>
        <v>50100</v>
      </c>
      <c r="K90">
        <f t="shared" si="3"/>
        <v>38700</v>
      </c>
      <c r="M90" s="2" t="s">
        <v>173</v>
      </c>
      <c r="N90">
        <v>19000</v>
      </c>
      <c r="Q90" s="2" t="s">
        <v>40</v>
      </c>
      <c r="R90">
        <v>0.73065355696934642</v>
      </c>
      <c r="T90" s="2" t="s">
        <v>173</v>
      </c>
      <c r="U90">
        <v>0.54340542199999997</v>
      </c>
      <c r="W90" s="2" t="s">
        <v>85</v>
      </c>
      <c r="X90">
        <v>0.34347321800000002</v>
      </c>
      <c r="Y90">
        <v>75000</v>
      </c>
      <c r="AA90" s="2" t="s">
        <v>85</v>
      </c>
      <c r="AB90">
        <v>0.34347321800000002</v>
      </c>
      <c r="AD90" s="2" t="s">
        <v>97</v>
      </c>
      <c r="AL90">
        <v>0.87561352272901027</v>
      </c>
      <c r="BB90">
        <v>50000</v>
      </c>
      <c r="BR90">
        <v>0.75047258999999999</v>
      </c>
      <c r="CH90">
        <v>0.79619439507194856</v>
      </c>
      <c r="CX90">
        <v>14500</v>
      </c>
      <c r="DN90">
        <v>70000</v>
      </c>
      <c r="ED90">
        <v>4.9846002E-2</v>
      </c>
      <c r="EM90">
        <v>0.87561352272901027</v>
      </c>
      <c r="EN90">
        <v>50000</v>
      </c>
      <c r="EO90">
        <v>0.75047258999999999</v>
      </c>
      <c r="EP90">
        <v>0.79619439507194856</v>
      </c>
      <c r="EQ90">
        <v>14500</v>
      </c>
      <c r="ER90">
        <v>70000</v>
      </c>
      <c r="ES90">
        <v>4.9846002E-2</v>
      </c>
    </row>
    <row r="91" spans="1:149" x14ac:dyDescent="0.3">
      <c r="A91" s="2" t="s">
        <v>146</v>
      </c>
      <c r="B91">
        <v>57000</v>
      </c>
      <c r="D91" s="2" t="s">
        <v>72</v>
      </c>
      <c r="E91">
        <v>50000</v>
      </c>
      <c r="G91" s="2" t="s">
        <v>72</v>
      </c>
      <c r="H91">
        <v>50000</v>
      </c>
      <c r="I91">
        <v>3.9215237999999999E-2</v>
      </c>
      <c r="J91">
        <f t="shared" ref="J91:K91" si="4">J27</f>
        <v>50750</v>
      </c>
      <c r="K91">
        <f t="shared" si="4"/>
        <v>38000</v>
      </c>
      <c r="M91" s="2" t="s">
        <v>196</v>
      </c>
      <c r="N91">
        <v>18500</v>
      </c>
      <c r="Q91" s="2" t="s">
        <v>170</v>
      </c>
      <c r="R91">
        <v>0.73107495056287242</v>
      </c>
      <c r="T91" s="2" t="s">
        <v>201</v>
      </c>
      <c r="U91">
        <v>0.53571428600000004</v>
      </c>
      <c r="W91" s="2" t="s">
        <v>110</v>
      </c>
      <c r="X91">
        <v>0.74566153800000001</v>
      </c>
      <c r="Y91">
        <v>46700</v>
      </c>
      <c r="AA91" s="2" t="s">
        <v>110</v>
      </c>
      <c r="AB91">
        <v>0.74566153800000001</v>
      </c>
      <c r="AD91" s="2" t="s">
        <v>157</v>
      </c>
      <c r="AS91">
        <v>0.7266374810574171</v>
      </c>
      <c r="BI91">
        <v>44000</v>
      </c>
      <c r="BY91">
        <v>0.43630163300000002</v>
      </c>
      <c r="CO91">
        <v>0.66102732483721971</v>
      </c>
      <c r="DE91">
        <v>12000</v>
      </c>
      <c r="DU91">
        <v>62000</v>
      </c>
      <c r="EK91">
        <v>8.362907E-2</v>
      </c>
      <c r="EM91">
        <v>0.7266374810574171</v>
      </c>
      <c r="EN91">
        <v>44000</v>
      </c>
      <c r="EO91">
        <v>0.43630163300000002</v>
      </c>
      <c r="EP91">
        <v>0.66102732483721971</v>
      </c>
      <c r="EQ91">
        <v>12000</v>
      </c>
      <c r="ER91">
        <v>62000</v>
      </c>
      <c r="ES91">
        <v>8.362907E-2</v>
      </c>
    </row>
    <row r="92" spans="1:149" x14ac:dyDescent="0.3">
      <c r="A92" s="2" t="s">
        <v>205</v>
      </c>
      <c r="B92">
        <v>56000</v>
      </c>
      <c r="D92" s="2" t="s">
        <v>192</v>
      </c>
      <c r="E92">
        <v>50000</v>
      </c>
      <c r="G92" s="2" t="s">
        <v>192</v>
      </c>
      <c r="H92">
        <v>50000</v>
      </c>
      <c r="I92">
        <v>7.0009785000000005E-2</v>
      </c>
      <c r="J92">
        <f t="shared" ref="J92:K92" si="5">J28</f>
        <v>52000</v>
      </c>
      <c r="K92">
        <f t="shared" si="5"/>
        <v>40000</v>
      </c>
      <c r="M92" s="2" t="s">
        <v>25</v>
      </c>
      <c r="N92">
        <v>18000</v>
      </c>
      <c r="Q92" s="2" t="s">
        <v>85</v>
      </c>
      <c r="R92">
        <v>0.73192113669543091</v>
      </c>
      <c r="T92" s="2" t="s">
        <v>172</v>
      </c>
      <c r="U92">
        <v>0.53233378799999997</v>
      </c>
      <c r="W92" s="2" t="s">
        <v>163</v>
      </c>
      <c r="X92">
        <v>0.90407454399999998</v>
      </c>
      <c r="Y92">
        <v>38000</v>
      </c>
      <c r="AA92" s="2" t="s">
        <v>163</v>
      </c>
      <c r="AB92">
        <v>0.90407454399999998</v>
      </c>
      <c r="AD92" s="2" t="s">
        <v>85</v>
      </c>
      <c r="AL92">
        <v>0.83945375371520548</v>
      </c>
      <c r="BB92">
        <v>51000</v>
      </c>
      <c r="BR92">
        <v>0.34347321800000002</v>
      </c>
      <c r="CH92">
        <v>0.73192113669543091</v>
      </c>
      <c r="CX92">
        <v>22000</v>
      </c>
      <c r="DN92">
        <v>75000</v>
      </c>
      <c r="ED92">
        <v>5.1493382999999997E-2</v>
      </c>
      <c r="EM92">
        <v>0.83945375371520548</v>
      </c>
      <c r="EN92">
        <v>51000</v>
      </c>
      <c r="EO92">
        <v>0.34347321800000002</v>
      </c>
      <c r="EP92">
        <v>0.73192113669543091</v>
      </c>
      <c r="EQ92">
        <v>22000</v>
      </c>
      <c r="ER92">
        <v>75000</v>
      </c>
      <c r="ES92">
        <v>5.1493382999999997E-2</v>
      </c>
    </row>
    <row r="93" spans="1:149" x14ac:dyDescent="0.3">
      <c r="A93" s="2" t="s">
        <v>161</v>
      </c>
      <c r="B93">
        <v>56000</v>
      </c>
      <c r="D93" s="2" t="s">
        <v>212</v>
      </c>
      <c r="E93">
        <v>50000</v>
      </c>
      <c r="G93" s="2" t="s">
        <v>212</v>
      </c>
      <c r="H93">
        <v>50000</v>
      </c>
      <c r="I93">
        <v>6.5851006000000004E-2</v>
      </c>
      <c r="J93">
        <f t="shared" ref="J93:K93" si="6">J29</f>
        <v>53000</v>
      </c>
      <c r="K93">
        <f t="shared" si="6"/>
        <v>40000</v>
      </c>
      <c r="M93" s="2" t="s">
        <v>122</v>
      </c>
      <c r="N93">
        <v>18000</v>
      </c>
      <c r="Q93" s="2" t="s">
        <v>79</v>
      </c>
      <c r="R93">
        <v>0.73295072686862262</v>
      </c>
      <c r="T93" s="2" t="s">
        <v>114</v>
      </c>
      <c r="U93">
        <v>0.52896915</v>
      </c>
      <c r="W93" s="2" t="s">
        <v>207</v>
      </c>
      <c r="X93">
        <v>0.67216144300000003</v>
      </c>
      <c r="Y93">
        <v>54000</v>
      </c>
      <c r="AA93" s="2" t="s">
        <v>207</v>
      </c>
      <c r="AB93">
        <v>0.67216144300000003</v>
      </c>
      <c r="AD93" s="2" t="s">
        <v>110</v>
      </c>
      <c r="AN93">
        <v>0.64929431784057923</v>
      </c>
      <c r="BD93">
        <v>40000</v>
      </c>
      <c r="BT93">
        <v>0.74566153800000001</v>
      </c>
      <c r="CJ93">
        <v>0.6488914869663116</v>
      </c>
      <c r="CZ93">
        <v>18000</v>
      </c>
      <c r="DP93">
        <v>46700</v>
      </c>
      <c r="EF93">
        <v>7.7843758999999998E-2</v>
      </c>
      <c r="EM93">
        <v>0.64929431784057923</v>
      </c>
      <c r="EN93">
        <v>40000</v>
      </c>
      <c r="EO93">
        <v>0.74566153800000001</v>
      </c>
      <c r="EP93">
        <v>0.6488914869663116</v>
      </c>
      <c r="EQ93">
        <v>18000</v>
      </c>
      <c r="ER93">
        <v>46700</v>
      </c>
      <c r="ES93">
        <v>7.7843758999999998E-2</v>
      </c>
    </row>
    <row r="94" spans="1:149" x14ac:dyDescent="0.3">
      <c r="A94" s="2" t="s">
        <v>150</v>
      </c>
      <c r="B94">
        <v>56000</v>
      </c>
      <c r="D94" s="2" t="s">
        <v>187</v>
      </c>
      <c r="E94">
        <v>50000</v>
      </c>
      <c r="G94" s="2" t="s">
        <v>187</v>
      </c>
      <c r="H94">
        <v>50000</v>
      </c>
      <c r="I94">
        <v>5.4700627000000002E-2</v>
      </c>
      <c r="J94">
        <f t="shared" ref="J94:K94" si="7">J30</f>
        <v>54000</v>
      </c>
      <c r="K94">
        <f t="shared" si="7"/>
        <v>55000</v>
      </c>
      <c r="M94" s="2" t="s">
        <v>152</v>
      </c>
      <c r="N94">
        <v>18000</v>
      </c>
      <c r="Q94" s="2" t="s">
        <v>147</v>
      </c>
      <c r="R94">
        <v>0.73382366632529561</v>
      </c>
      <c r="T94" s="2" t="s">
        <v>52</v>
      </c>
      <c r="U94">
        <v>0.52647576399999996</v>
      </c>
      <c r="W94" s="2" t="s">
        <v>209</v>
      </c>
      <c r="X94">
        <v>0.73399192800000002</v>
      </c>
      <c r="Y94">
        <v>49000</v>
      </c>
      <c r="AA94" s="2" t="s">
        <v>209</v>
      </c>
      <c r="AB94">
        <v>0.73399192800000002</v>
      </c>
      <c r="AD94" s="2" t="s">
        <v>163</v>
      </c>
      <c r="AS94">
        <v>0.73220741995374738</v>
      </c>
      <c r="BI94">
        <v>23000</v>
      </c>
      <c r="BY94">
        <v>0.90407454399999998</v>
      </c>
      <c r="CO94">
        <v>0.7507641894700805</v>
      </c>
      <c r="DE94">
        <v>11400</v>
      </c>
      <c r="DU94">
        <v>38000</v>
      </c>
      <c r="EK94">
        <v>7.2421293999999997E-2</v>
      </c>
      <c r="EM94">
        <v>0.73220741995374738</v>
      </c>
      <c r="EN94">
        <v>23000</v>
      </c>
      <c r="EO94">
        <v>0.90407454399999998</v>
      </c>
      <c r="EP94">
        <v>0.7507641894700805</v>
      </c>
      <c r="EQ94">
        <v>11400</v>
      </c>
      <c r="ER94">
        <v>38000</v>
      </c>
      <c r="ES94">
        <v>7.2421293999999997E-2</v>
      </c>
    </row>
    <row r="95" spans="1:149" x14ac:dyDescent="0.3">
      <c r="A95" s="2" t="s">
        <v>190</v>
      </c>
      <c r="B95">
        <v>55000</v>
      </c>
      <c r="D95" s="2" t="s">
        <v>107</v>
      </c>
      <c r="E95">
        <v>50000</v>
      </c>
      <c r="G95" s="2" t="s">
        <v>107</v>
      </c>
      <c r="H95">
        <v>50000</v>
      </c>
      <c r="I95">
        <v>6.8645304000000004E-2</v>
      </c>
      <c r="J95">
        <f t="shared" ref="J95:K95" si="8">J31</f>
        <v>55000</v>
      </c>
      <c r="K95">
        <f t="shared" si="8"/>
        <v>42500</v>
      </c>
      <c r="M95" s="2" t="s">
        <v>79</v>
      </c>
      <c r="N95">
        <v>18000</v>
      </c>
      <c r="Q95" s="2" t="s">
        <v>106</v>
      </c>
      <c r="R95">
        <v>0.73480316839954052</v>
      </c>
      <c r="T95" s="2" t="s">
        <v>119</v>
      </c>
      <c r="U95">
        <v>0.52415258300000001</v>
      </c>
      <c r="W95" s="2" t="s">
        <v>212</v>
      </c>
      <c r="X95">
        <v>0.65174129400000003</v>
      </c>
      <c r="Y95">
        <v>50000</v>
      </c>
      <c r="AA95" s="2" t="s">
        <v>212</v>
      </c>
      <c r="AB95">
        <v>0.65174129400000003</v>
      </c>
      <c r="AD95" s="2" t="s">
        <v>207</v>
      </c>
      <c r="AH95">
        <v>0.81513728399554863</v>
      </c>
      <c r="AX95">
        <v>42000</v>
      </c>
      <c r="BN95">
        <v>0.67216144300000003</v>
      </c>
      <c r="CD95">
        <v>0.76294093146939779</v>
      </c>
      <c r="CT95">
        <v>15000</v>
      </c>
      <c r="DJ95">
        <v>54000</v>
      </c>
      <c r="DZ95">
        <v>6.0748094000000002E-2</v>
      </c>
      <c r="EM95">
        <v>0.81513728399554863</v>
      </c>
      <c r="EN95">
        <v>42000</v>
      </c>
      <c r="EO95">
        <v>0.67216144300000003</v>
      </c>
      <c r="EP95">
        <v>0.76294093146939779</v>
      </c>
      <c r="EQ95">
        <v>15000</v>
      </c>
      <c r="ER95">
        <v>54000</v>
      </c>
      <c r="ES95">
        <v>6.0748094000000002E-2</v>
      </c>
    </row>
    <row r="96" spans="1:149" x14ac:dyDescent="0.3">
      <c r="A96" s="2" t="s">
        <v>170</v>
      </c>
      <c r="B96">
        <v>55000</v>
      </c>
      <c r="D96" s="2" t="s">
        <v>165</v>
      </c>
      <c r="E96">
        <v>50000</v>
      </c>
      <c r="G96" s="2" t="s">
        <v>165</v>
      </c>
      <c r="H96">
        <v>50000</v>
      </c>
      <c r="I96">
        <v>7.1056931000000004E-2</v>
      </c>
      <c r="J96">
        <f t="shared" ref="J96:K96" si="9">J32</f>
        <v>56000</v>
      </c>
      <c r="K96">
        <f t="shared" si="9"/>
        <v>42000</v>
      </c>
      <c r="M96" s="2" t="s">
        <v>87</v>
      </c>
      <c r="N96">
        <v>18000</v>
      </c>
      <c r="Q96" s="2" t="s">
        <v>38</v>
      </c>
      <c r="R96">
        <v>0.73558155633678557</v>
      </c>
      <c r="T96" s="2" t="s">
        <v>25</v>
      </c>
      <c r="U96">
        <v>0.51554332899999999</v>
      </c>
      <c r="W96" s="2" t="s">
        <v>192</v>
      </c>
      <c r="X96">
        <v>0.55660377400000005</v>
      </c>
      <c r="Y96">
        <v>50000</v>
      </c>
      <c r="AA96" s="2" t="s">
        <v>192</v>
      </c>
      <c r="AB96">
        <v>0.55660377400000005</v>
      </c>
      <c r="AD96" s="2" t="s">
        <v>209</v>
      </c>
      <c r="AH96">
        <v>0.74972000024480856</v>
      </c>
      <c r="AX96">
        <v>37000</v>
      </c>
      <c r="BN96">
        <v>0.73399192800000002</v>
      </c>
      <c r="CD96">
        <v>0.81349139175719676</v>
      </c>
      <c r="CT96">
        <v>15000</v>
      </c>
      <c r="DJ96">
        <v>49000</v>
      </c>
      <c r="DZ96">
        <v>5.1446983000000002E-2</v>
      </c>
      <c r="EM96">
        <v>0.74972000024480856</v>
      </c>
      <c r="EN96">
        <v>37000</v>
      </c>
      <c r="EO96">
        <v>0.73399192800000002</v>
      </c>
      <c r="EP96">
        <v>0.81349139175719676</v>
      </c>
      <c r="EQ96">
        <v>15000</v>
      </c>
      <c r="ER96">
        <v>49000</v>
      </c>
      <c r="ES96">
        <v>5.1446983000000002E-2</v>
      </c>
    </row>
    <row r="97" spans="1:149" x14ac:dyDescent="0.3">
      <c r="A97" s="2" t="s">
        <v>54</v>
      </c>
      <c r="B97">
        <v>55000</v>
      </c>
      <c r="D97" s="2" t="s">
        <v>44</v>
      </c>
      <c r="E97">
        <v>50000</v>
      </c>
      <c r="G97" s="2" t="s">
        <v>44</v>
      </c>
      <c r="H97">
        <v>50000</v>
      </c>
      <c r="I97">
        <v>6.1916751999999999E-2</v>
      </c>
      <c r="J97">
        <f t="shared" ref="J97:K97" si="10">J33</f>
        <v>57000</v>
      </c>
      <c r="K97">
        <f t="shared" si="10"/>
        <v>50666.666666666664</v>
      </c>
      <c r="M97" s="2" t="s">
        <v>187</v>
      </c>
      <c r="N97">
        <v>18000</v>
      </c>
      <c r="Q97" s="2" t="s">
        <v>198</v>
      </c>
      <c r="R97">
        <v>0.7357793878379234</v>
      </c>
      <c r="T97" s="2" t="s">
        <v>113</v>
      </c>
      <c r="U97">
        <v>0.51540644899999999</v>
      </c>
      <c r="W97" s="2" t="s">
        <v>189</v>
      </c>
      <c r="X97">
        <v>0.77090110599999995</v>
      </c>
      <c r="Y97">
        <v>50000</v>
      </c>
      <c r="AA97" s="2" t="s">
        <v>189</v>
      </c>
      <c r="AB97">
        <v>0.77090110599999995</v>
      </c>
      <c r="AD97" s="2" t="s">
        <v>212</v>
      </c>
      <c r="AN97">
        <v>0.74028251563492864</v>
      </c>
      <c r="BD97">
        <v>45000</v>
      </c>
      <c r="BT97">
        <v>0.65174129400000003</v>
      </c>
      <c r="CJ97">
        <v>0.67145257112541734</v>
      </c>
      <c r="CZ97">
        <v>28000</v>
      </c>
      <c r="DP97">
        <v>50000</v>
      </c>
      <c r="EF97">
        <v>6.5851006000000004E-2</v>
      </c>
      <c r="EM97">
        <v>0.74028251563492864</v>
      </c>
      <c r="EN97">
        <v>45000</v>
      </c>
      <c r="EO97">
        <v>0.65174129400000003</v>
      </c>
      <c r="EP97">
        <v>0.67145257112541734</v>
      </c>
      <c r="EQ97">
        <v>28000</v>
      </c>
      <c r="ER97">
        <v>50000</v>
      </c>
      <c r="ES97">
        <v>6.5851006000000004E-2</v>
      </c>
    </row>
    <row r="98" spans="1:149" x14ac:dyDescent="0.3">
      <c r="A98" s="2" t="s">
        <v>53</v>
      </c>
      <c r="B98">
        <v>55000</v>
      </c>
      <c r="D98" s="2" t="s">
        <v>120</v>
      </c>
      <c r="E98">
        <v>50000</v>
      </c>
      <c r="G98" s="2" t="s">
        <v>120</v>
      </c>
      <c r="H98">
        <v>50000</v>
      </c>
      <c r="I98">
        <v>5.1139455E-2</v>
      </c>
      <c r="J98">
        <f t="shared" ref="J98:K98" si="11">J34</f>
        <v>58000</v>
      </c>
      <c r="K98">
        <f t="shared" si="11"/>
        <v>42885.714285714283</v>
      </c>
      <c r="M98" s="2" t="s">
        <v>169</v>
      </c>
      <c r="N98">
        <v>18000</v>
      </c>
      <c r="Q98" s="2" t="s">
        <v>191</v>
      </c>
      <c r="R98">
        <v>0.73628098672646825</v>
      </c>
      <c r="T98" s="2" t="s">
        <v>130</v>
      </c>
      <c r="U98">
        <v>0.50737696799999998</v>
      </c>
      <c r="W98" s="2" t="s">
        <v>146</v>
      </c>
      <c r="X98">
        <v>0.88129388900000005</v>
      </c>
      <c r="Y98">
        <v>57000</v>
      </c>
      <c r="AA98" s="2" t="s">
        <v>146</v>
      </c>
      <c r="AB98">
        <v>0.88129388900000005</v>
      </c>
      <c r="AD98" s="2" t="s">
        <v>192</v>
      </c>
      <c r="AM98">
        <v>0.6916197590614972</v>
      </c>
      <c r="BC98">
        <v>51000</v>
      </c>
      <c r="BS98">
        <v>0.55660377400000005</v>
      </c>
      <c r="CI98">
        <v>0.58464046256996982</v>
      </c>
      <c r="CY98">
        <v>84000</v>
      </c>
      <c r="DO98">
        <v>50000</v>
      </c>
      <c r="EE98">
        <v>7.0009785000000005E-2</v>
      </c>
      <c r="EM98">
        <v>0.6916197590614972</v>
      </c>
      <c r="EN98">
        <v>51000</v>
      </c>
      <c r="EO98">
        <v>0.55660377400000005</v>
      </c>
      <c r="EP98">
        <v>0.58464046256996982</v>
      </c>
      <c r="EQ98">
        <v>84000</v>
      </c>
      <c r="ER98">
        <v>50000</v>
      </c>
      <c r="ES98">
        <v>7.0009785000000005E-2</v>
      </c>
    </row>
    <row r="99" spans="1:149" x14ac:dyDescent="0.3">
      <c r="A99" s="2" t="s">
        <v>121</v>
      </c>
      <c r="B99">
        <v>55000</v>
      </c>
      <c r="D99" s="2" t="s">
        <v>189</v>
      </c>
      <c r="E99">
        <v>50000</v>
      </c>
      <c r="G99" s="2" t="s">
        <v>189</v>
      </c>
      <c r="H99">
        <v>50000</v>
      </c>
      <c r="I99">
        <v>5.7003976999999997E-2</v>
      </c>
      <c r="J99">
        <f t="shared" ref="J99:K99" si="12">J35</f>
        <v>58600</v>
      </c>
      <c r="K99">
        <f t="shared" si="12"/>
        <v>45000</v>
      </c>
      <c r="M99" s="2" t="s">
        <v>84</v>
      </c>
      <c r="N99">
        <v>18000</v>
      </c>
      <c r="Q99" s="2" t="s">
        <v>75</v>
      </c>
      <c r="R99">
        <v>0.74111396115793327</v>
      </c>
      <c r="T99" s="2" t="s">
        <v>63</v>
      </c>
      <c r="U99">
        <v>0.50672076300000002</v>
      </c>
      <c r="W99" s="2" t="s">
        <v>145</v>
      </c>
      <c r="X99">
        <v>0.47019686500000002</v>
      </c>
      <c r="Y99">
        <v>65000</v>
      </c>
      <c r="AA99" s="2" t="s">
        <v>145</v>
      </c>
      <c r="AB99">
        <v>0.47019686500000002</v>
      </c>
      <c r="AD99" s="2" t="s">
        <v>189</v>
      </c>
      <c r="AM99">
        <v>0.78835520149953142</v>
      </c>
      <c r="BC99">
        <v>40000</v>
      </c>
      <c r="BS99">
        <v>0.77090110599999995</v>
      </c>
      <c r="CI99">
        <v>0.78665560777808496</v>
      </c>
      <c r="CY99">
        <v>27000</v>
      </c>
      <c r="DO99">
        <v>50000</v>
      </c>
      <c r="EE99">
        <v>5.7003976999999997E-2</v>
      </c>
      <c r="EM99">
        <v>0.78835520149953142</v>
      </c>
      <c r="EN99">
        <v>40000</v>
      </c>
      <c r="EO99">
        <v>0.77090110599999995</v>
      </c>
      <c r="EP99">
        <v>0.78665560777808496</v>
      </c>
      <c r="EQ99">
        <v>27000</v>
      </c>
      <c r="ER99">
        <v>50000</v>
      </c>
      <c r="ES99">
        <v>5.7003976999999997E-2</v>
      </c>
    </row>
    <row r="100" spans="1:149" x14ac:dyDescent="0.3">
      <c r="A100" s="2" t="s">
        <v>147</v>
      </c>
      <c r="B100">
        <v>55000</v>
      </c>
      <c r="D100" s="2" t="s">
        <v>31</v>
      </c>
      <c r="E100">
        <v>50000</v>
      </c>
      <c r="G100" s="2" t="s">
        <v>31</v>
      </c>
      <c r="H100">
        <v>50000</v>
      </c>
      <c r="I100">
        <v>3.1790886999999997E-2</v>
      </c>
      <c r="J100">
        <f t="shared" ref="J100:K100" si="13">J36</f>
        <v>59000</v>
      </c>
      <c r="K100">
        <f t="shared" si="13"/>
        <v>44000</v>
      </c>
      <c r="M100" s="2" t="s">
        <v>145</v>
      </c>
      <c r="N100">
        <v>18000</v>
      </c>
      <c r="Q100" s="2" t="s">
        <v>156</v>
      </c>
      <c r="R100">
        <v>0.74128055350762778</v>
      </c>
      <c r="T100" s="2" t="s">
        <v>144</v>
      </c>
      <c r="U100">
        <v>0.50514053800000003</v>
      </c>
      <c r="W100" s="2" t="s">
        <v>84</v>
      </c>
      <c r="X100">
        <v>0.32483804999999999</v>
      </c>
      <c r="Y100">
        <v>85000</v>
      </c>
      <c r="AA100" s="2" t="s">
        <v>84</v>
      </c>
      <c r="AB100">
        <v>0.32483804999999999</v>
      </c>
      <c r="AD100" s="2" t="s">
        <v>146</v>
      </c>
      <c r="AR100">
        <v>0.81905694240496008</v>
      </c>
      <c r="BH100">
        <v>44000</v>
      </c>
      <c r="BX100">
        <v>0.88129388900000005</v>
      </c>
      <c r="CN100">
        <v>0.74138139591145513</v>
      </c>
      <c r="DD100">
        <v>32000</v>
      </c>
      <c r="DT100">
        <v>57000</v>
      </c>
      <c r="EJ100">
        <v>4.2792441000000001E-2</v>
      </c>
      <c r="EM100">
        <v>0.81905694240496008</v>
      </c>
      <c r="EN100">
        <v>44000</v>
      </c>
      <c r="EO100">
        <v>0.88129388900000005</v>
      </c>
      <c r="EP100">
        <v>0.74138139591145513</v>
      </c>
      <c r="EQ100">
        <v>32000</v>
      </c>
      <c r="ER100">
        <v>57000</v>
      </c>
      <c r="ES100">
        <v>4.2792441000000001E-2</v>
      </c>
    </row>
    <row r="101" spans="1:149" x14ac:dyDescent="0.3">
      <c r="A101" s="2" t="s">
        <v>169</v>
      </c>
      <c r="B101">
        <v>54000</v>
      </c>
      <c r="D101" s="2" t="s">
        <v>112</v>
      </c>
      <c r="E101">
        <v>51000</v>
      </c>
      <c r="G101" s="2" t="s">
        <v>112</v>
      </c>
      <c r="H101">
        <v>51000</v>
      </c>
      <c r="I101">
        <v>5.930117E-2</v>
      </c>
      <c r="J101">
        <f t="shared" ref="J101:K101" si="14">J37</f>
        <v>60000</v>
      </c>
      <c r="K101">
        <f t="shared" si="14"/>
        <v>46771.428571428572</v>
      </c>
      <c r="M101" s="2" t="s">
        <v>110</v>
      </c>
      <c r="N101">
        <v>18000</v>
      </c>
      <c r="Q101" s="2" t="s">
        <v>146</v>
      </c>
      <c r="R101">
        <v>0.74138139591145513</v>
      </c>
      <c r="T101" s="2" t="s">
        <v>165</v>
      </c>
      <c r="U101">
        <v>0.50284631499999999</v>
      </c>
      <c r="W101" s="2" t="s">
        <v>169</v>
      </c>
      <c r="X101">
        <v>0.47318952399999997</v>
      </c>
      <c r="Y101">
        <v>54000</v>
      </c>
      <c r="AA101" s="2" t="s">
        <v>169</v>
      </c>
      <c r="AB101">
        <v>0.47318952399999997</v>
      </c>
      <c r="AD101" s="2" t="s">
        <v>145</v>
      </c>
      <c r="AR101">
        <v>0.78287405215461436</v>
      </c>
      <c r="BH101">
        <v>58000</v>
      </c>
      <c r="BX101">
        <v>0.47019686500000002</v>
      </c>
      <c r="CN101">
        <v>0.7015439936238439</v>
      </c>
      <c r="DD101">
        <v>18000</v>
      </c>
      <c r="DT101">
        <v>65000</v>
      </c>
      <c r="EJ101">
        <v>6.5110534999999997E-2</v>
      </c>
      <c r="EM101">
        <v>0.78287405215461436</v>
      </c>
      <c r="EN101">
        <v>58000</v>
      </c>
      <c r="EO101">
        <v>0.47019686500000002</v>
      </c>
      <c r="EP101">
        <v>0.7015439936238439</v>
      </c>
      <c r="EQ101">
        <v>18000</v>
      </c>
      <c r="ER101">
        <v>65000</v>
      </c>
      <c r="ES101">
        <v>6.5110534999999997E-2</v>
      </c>
    </row>
    <row r="102" spans="1:149" x14ac:dyDescent="0.3">
      <c r="A102" s="2" t="s">
        <v>27</v>
      </c>
      <c r="B102">
        <v>54000</v>
      </c>
      <c r="D102" s="2" t="s">
        <v>173</v>
      </c>
      <c r="E102">
        <v>52000</v>
      </c>
      <c r="G102" s="2" t="s">
        <v>173</v>
      </c>
      <c r="H102">
        <v>52000</v>
      </c>
      <c r="I102">
        <v>5.4398770999999999E-2</v>
      </c>
      <c r="J102">
        <f t="shared" ref="J102:K102" si="15">J38</f>
        <v>61000</v>
      </c>
      <c r="K102">
        <f t="shared" si="15"/>
        <v>45000</v>
      </c>
      <c r="M102" s="2" t="s">
        <v>37</v>
      </c>
      <c r="N102">
        <v>17000</v>
      </c>
      <c r="Q102" s="2" t="s">
        <v>91</v>
      </c>
      <c r="R102">
        <v>0.74496234479951151</v>
      </c>
      <c r="T102" s="2" t="s">
        <v>128</v>
      </c>
      <c r="U102">
        <v>0.49539715299999998</v>
      </c>
      <c r="W102" s="2" t="s">
        <v>117</v>
      </c>
      <c r="X102">
        <v>0.64333112100000001</v>
      </c>
      <c r="Y102">
        <v>48000</v>
      </c>
      <c r="AA102" s="2" t="s">
        <v>117</v>
      </c>
      <c r="AB102">
        <v>0.64333112100000001</v>
      </c>
      <c r="AD102" s="2" t="s">
        <v>84</v>
      </c>
      <c r="AL102">
        <v>0.81310679611650483</v>
      </c>
      <c r="BB102">
        <v>70000</v>
      </c>
      <c r="BR102">
        <v>0.32483804999999999</v>
      </c>
      <c r="CH102">
        <v>0.65772669220945079</v>
      </c>
      <c r="CX102">
        <v>18000</v>
      </c>
      <c r="DN102">
        <v>85000</v>
      </c>
      <c r="ED102">
        <v>0</v>
      </c>
      <c r="EM102">
        <v>0.81310679611650483</v>
      </c>
      <c r="EN102">
        <v>70000</v>
      </c>
      <c r="EO102">
        <v>0.32483804999999999</v>
      </c>
      <c r="EP102">
        <v>0.65772669220945079</v>
      </c>
      <c r="EQ102">
        <v>18000</v>
      </c>
      <c r="ER102">
        <v>85000</v>
      </c>
      <c r="ES102">
        <v>0</v>
      </c>
    </row>
    <row r="103" spans="1:149" x14ac:dyDescent="0.3">
      <c r="A103" s="2" t="s">
        <v>208</v>
      </c>
      <c r="B103">
        <v>54000</v>
      </c>
      <c r="D103" s="2" t="s">
        <v>34</v>
      </c>
      <c r="E103">
        <v>52000</v>
      </c>
      <c r="G103" s="2" t="s">
        <v>34</v>
      </c>
      <c r="H103">
        <v>52000</v>
      </c>
      <c r="I103">
        <v>5.1289827000000003E-2</v>
      </c>
      <c r="J103">
        <f t="shared" ref="J103:K103" si="16">J39</f>
        <v>62000</v>
      </c>
      <c r="K103">
        <f t="shared" si="16"/>
        <v>48900</v>
      </c>
      <c r="M103" s="2" t="s">
        <v>126</v>
      </c>
      <c r="N103">
        <v>17000</v>
      </c>
      <c r="Q103" s="2" t="s">
        <v>181</v>
      </c>
      <c r="R103">
        <v>0.74532561977475931</v>
      </c>
      <c r="T103" s="2" t="s">
        <v>171</v>
      </c>
      <c r="U103">
        <v>0.48592987700000001</v>
      </c>
      <c r="W103" s="2" t="s">
        <v>165</v>
      </c>
      <c r="X103">
        <v>0.50284631499999999</v>
      </c>
      <c r="Y103">
        <v>50000</v>
      </c>
      <c r="AA103" s="2" t="s">
        <v>165</v>
      </c>
      <c r="AB103">
        <v>0.50284631499999999</v>
      </c>
      <c r="AD103" s="2" t="s">
        <v>169</v>
      </c>
      <c r="AT103">
        <v>0.75378566050363927</v>
      </c>
      <c r="BJ103">
        <v>39700</v>
      </c>
      <c r="BZ103">
        <v>0.47318952399999997</v>
      </c>
      <c r="CP103">
        <v>0.72490751410030929</v>
      </c>
      <c r="DF103">
        <v>18000</v>
      </c>
      <c r="DV103">
        <v>54000</v>
      </c>
      <c r="EL103">
        <v>6.9008490000000006E-2</v>
      </c>
      <c r="EM103">
        <v>0.75378566050363927</v>
      </c>
      <c r="EN103">
        <v>39700</v>
      </c>
      <c r="EO103">
        <v>0.47318952399999997</v>
      </c>
      <c r="EP103">
        <v>0.72490751410030929</v>
      </c>
      <c r="EQ103">
        <v>18000</v>
      </c>
      <c r="ER103">
        <v>54000</v>
      </c>
      <c r="ES103">
        <v>6.9008490000000006E-2</v>
      </c>
    </row>
    <row r="104" spans="1:149" x14ac:dyDescent="0.3">
      <c r="A104" s="2" t="s">
        <v>207</v>
      </c>
      <c r="B104">
        <v>54000</v>
      </c>
      <c r="D104" s="2" t="s">
        <v>123</v>
      </c>
      <c r="E104">
        <v>52000</v>
      </c>
      <c r="G104" s="2" t="s">
        <v>123</v>
      </c>
      <c r="H104">
        <v>52000</v>
      </c>
      <c r="I104">
        <v>4.7582435999999999E-2</v>
      </c>
      <c r="J104">
        <f t="shared" ref="J104:K104" si="17">J40</f>
        <v>64000</v>
      </c>
      <c r="K104">
        <f t="shared" si="17"/>
        <v>47500</v>
      </c>
      <c r="M104" s="2" t="s">
        <v>31</v>
      </c>
      <c r="N104">
        <v>17000</v>
      </c>
      <c r="Q104" s="2" t="s">
        <v>117</v>
      </c>
      <c r="R104">
        <v>0.74614900974536313</v>
      </c>
      <c r="T104" s="2" t="s">
        <v>161</v>
      </c>
      <c r="U104">
        <v>0.47646118300000001</v>
      </c>
      <c r="W104" s="2" t="s">
        <v>187</v>
      </c>
      <c r="X104">
        <v>0.77457662400000005</v>
      </c>
      <c r="Y104">
        <v>50000</v>
      </c>
      <c r="AA104" s="2" t="s">
        <v>187</v>
      </c>
      <c r="AB104">
        <v>0.77457662400000005</v>
      </c>
      <c r="AD104" s="2" t="s">
        <v>117</v>
      </c>
      <c r="AG104">
        <v>0.73688645460290714</v>
      </c>
      <c r="AW104">
        <v>47000</v>
      </c>
      <c r="BM104">
        <v>0.64333112100000001</v>
      </c>
      <c r="CC104">
        <v>0.74614900974536313</v>
      </c>
      <c r="CS104">
        <v>22000</v>
      </c>
      <c r="DI104">
        <v>48000</v>
      </c>
      <c r="DY104">
        <v>4.1590954999999999E-2</v>
      </c>
      <c r="EM104">
        <v>0.73688645460290714</v>
      </c>
      <c r="EN104">
        <v>47000</v>
      </c>
      <c r="EO104">
        <v>0.64333112100000001</v>
      </c>
      <c r="EP104">
        <v>0.74614900974536313</v>
      </c>
      <c r="EQ104">
        <v>22000</v>
      </c>
      <c r="ER104">
        <v>48000</v>
      </c>
      <c r="ES104">
        <v>4.1590954999999999E-2</v>
      </c>
    </row>
    <row r="105" spans="1:149" x14ac:dyDescent="0.3">
      <c r="A105" s="2" t="s">
        <v>211</v>
      </c>
      <c r="B105">
        <v>53000</v>
      </c>
      <c r="D105" s="2" t="s">
        <v>37</v>
      </c>
      <c r="E105">
        <v>52000</v>
      </c>
      <c r="G105" s="2" t="s">
        <v>37</v>
      </c>
      <c r="H105">
        <v>52000</v>
      </c>
      <c r="I105">
        <v>5.4341278999999999E-2</v>
      </c>
      <c r="J105">
        <f t="shared" ref="J105:K105" si="18">J41</f>
        <v>65000</v>
      </c>
      <c r="K105">
        <f t="shared" si="18"/>
        <v>50464.285714285717</v>
      </c>
      <c r="M105" s="2" t="s">
        <v>44</v>
      </c>
      <c r="N105">
        <v>17000</v>
      </c>
      <c r="Q105" s="2" t="s">
        <v>33</v>
      </c>
      <c r="R105">
        <v>0.74768978827933097</v>
      </c>
      <c r="T105" s="2" t="s">
        <v>122</v>
      </c>
      <c r="U105">
        <v>0.47501047000000002</v>
      </c>
      <c r="W105" s="2" t="s">
        <v>73</v>
      </c>
      <c r="X105">
        <v>0.25295983799999999</v>
      </c>
      <c r="Y105">
        <v>75000</v>
      </c>
      <c r="AA105" s="2" t="s">
        <v>73</v>
      </c>
      <c r="AB105">
        <v>0.25295983799999999</v>
      </c>
      <c r="AD105" s="2" t="s">
        <v>165</v>
      </c>
      <c r="AT105">
        <v>0.71148256720513936</v>
      </c>
      <c r="BJ105">
        <v>40000</v>
      </c>
      <c r="BZ105">
        <v>0.50284631499999999</v>
      </c>
      <c r="CP105">
        <v>0.62942141752314251</v>
      </c>
      <c r="DF105">
        <v>19000</v>
      </c>
      <c r="DV105">
        <v>50000</v>
      </c>
      <c r="EL105">
        <v>7.1056931000000004E-2</v>
      </c>
      <c r="EM105">
        <v>0.71148256720513936</v>
      </c>
      <c r="EN105">
        <v>40000</v>
      </c>
      <c r="EO105">
        <v>0.50284631499999999</v>
      </c>
      <c r="EP105">
        <v>0.62942141752314251</v>
      </c>
      <c r="EQ105">
        <v>19000</v>
      </c>
      <c r="ER105">
        <v>50000</v>
      </c>
      <c r="ES105">
        <v>7.1056931000000004E-2</v>
      </c>
    </row>
    <row r="106" spans="1:149" x14ac:dyDescent="0.3">
      <c r="A106" s="2" t="s">
        <v>113</v>
      </c>
      <c r="B106">
        <v>53000</v>
      </c>
      <c r="D106" s="2" t="s">
        <v>33</v>
      </c>
      <c r="E106">
        <v>52000</v>
      </c>
      <c r="G106" s="2" t="s">
        <v>33</v>
      </c>
      <c r="H106">
        <v>52000</v>
      </c>
      <c r="I106">
        <v>3.9230422000000001E-2</v>
      </c>
      <c r="J106">
        <f t="shared" ref="J106:K106" si="19">J42</f>
        <v>66000</v>
      </c>
      <c r="K106">
        <f t="shared" si="19"/>
        <v>46000</v>
      </c>
      <c r="M106" s="2" t="s">
        <v>107</v>
      </c>
      <c r="N106">
        <v>17000</v>
      </c>
      <c r="Q106" s="2" t="s">
        <v>32</v>
      </c>
      <c r="R106">
        <v>0.74795019738839963</v>
      </c>
      <c r="T106" s="2" t="s">
        <v>169</v>
      </c>
      <c r="U106">
        <v>0.47318952399999997</v>
      </c>
      <c r="W106" s="2" t="s">
        <v>57</v>
      </c>
      <c r="X106">
        <v>0.812876606</v>
      </c>
      <c r="Y106">
        <v>43000</v>
      </c>
      <c r="AA106" s="2" t="s">
        <v>57</v>
      </c>
      <c r="AB106">
        <v>0.812876606</v>
      </c>
      <c r="AD106" s="2" t="s">
        <v>187</v>
      </c>
      <c r="AM106">
        <v>0.68730658073096496</v>
      </c>
      <c r="BC106">
        <v>38000</v>
      </c>
      <c r="BS106">
        <v>0.77457662400000005</v>
      </c>
      <c r="CI106">
        <v>0.74819166443415364</v>
      </c>
      <c r="CY106">
        <v>18000</v>
      </c>
      <c r="DO106">
        <v>50000</v>
      </c>
      <c r="EE106">
        <v>5.4700627000000002E-2</v>
      </c>
      <c r="EM106">
        <v>0.68730658073096496</v>
      </c>
      <c r="EN106">
        <v>38000</v>
      </c>
      <c r="EO106">
        <v>0.77457662400000005</v>
      </c>
      <c r="EP106">
        <v>0.74819166443415364</v>
      </c>
      <c r="EQ106">
        <v>18000</v>
      </c>
      <c r="ER106">
        <v>50000</v>
      </c>
      <c r="ES106">
        <v>5.4700627000000002E-2</v>
      </c>
    </row>
    <row r="107" spans="1:149" x14ac:dyDescent="0.3">
      <c r="A107" s="2" t="s">
        <v>134</v>
      </c>
      <c r="B107">
        <v>53000</v>
      </c>
      <c r="D107" s="2" t="s">
        <v>134</v>
      </c>
      <c r="E107">
        <v>53000</v>
      </c>
      <c r="G107" s="2" t="s">
        <v>134</v>
      </c>
      <c r="H107">
        <v>53000</v>
      </c>
      <c r="I107">
        <v>4.8872827000000001E-2</v>
      </c>
      <c r="J107">
        <f t="shared" ref="J107:K107" si="20">J43</f>
        <v>67000</v>
      </c>
      <c r="K107">
        <f t="shared" si="20"/>
        <v>51250</v>
      </c>
      <c r="M107" s="2" t="s">
        <v>210</v>
      </c>
      <c r="N107">
        <v>17000</v>
      </c>
      <c r="Q107" s="2" t="s">
        <v>187</v>
      </c>
      <c r="R107">
        <v>0.74819166443415364</v>
      </c>
      <c r="T107" s="2" t="s">
        <v>145</v>
      </c>
      <c r="U107">
        <v>0.47019686500000002</v>
      </c>
      <c r="W107" s="2" t="s">
        <v>198</v>
      </c>
      <c r="X107">
        <v>0.41792479999999999</v>
      </c>
      <c r="Y107">
        <v>60000</v>
      </c>
      <c r="AA107" s="2" t="s">
        <v>198</v>
      </c>
      <c r="AB107">
        <v>0.41792479999999999</v>
      </c>
      <c r="AD107" s="2" t="s">
        <v>73</v>
      </c>
      <c r="AL107">
        <v>0.86872863140779344</v>
      </c>
      <c r="BB107">
        <v>50000</v>
      </c>
      <c r="BR107">
        <v>0.25295983799999999</v>
      </c>
      <c r="CH107">
        <v>0.71394609207283133</v>
      </c>
      <c r="CX107">
        <v>25000</v>
      </c>
      <c r="DN107">
        <v>75000</v>
      </c>
      <c r="ED107">
        <v>4.7688237000000001E-2</v>
      </c>
      <c r="EM107">
        <v>0.86872863140779344</v>
      </c>
      <c r="EN107">
        <v>50000</v>
      </c>
      <c r="EO107">
        <v>0.25295983799999999</v>
      </c>
      <c r="EP107">
        <v>0.71394609207283133</v>
      </c>
      <c r="EQ107">
        <v>25000</v>
      </c>
      <c r="ER107">
        <v>75000</v>
      </c>
      <c r="ES107">
        <v>4.7688237000000001E-2</v>
      </c>
    </row>
    <row r="108" spans="1:149" x14ac:dyDescent="0.3">
      <c r="A108" s="2" t="s">
        <v>33</v>
      </c>
      <c r="B108">
        <v>52000</v>
      </c>
      <c r="D108" s="2" t="s">
        <v>211</v>
      </c>
      <c r="E108">
        <v>53000</v>
      </c>
      <c r="G108" s="2" t="s">
        <v>211</v>
      </c>
      <c r="H108">
        <v>53000</v>
      </c>
      <c r="I108">
        <v>5.2678560999999999E-2</v>
      </c>
      <c r="J108">
        <f t="shared" ref="J108:K108" si="21">J44</f>
        <v>68000</v>
      </c>
      <c r="K108">
        <f t="shared" si="21"/>
        <v>50200</v>
      </c>
      <c r="M108" s="2" t="s">
        <v>101</v>
      </c>
      <c r="N108">
        <v>17000</v>
      </c>
      <c r="Q108" s="2" t="s">
        <v>193</v>
      </c>
      <c r="R108">
        <v>0.7490349693653624</v>
      </c>
      <c r="T108" s="2" t="s">
        <v>194</v>
      </c>
      <c r="U108">
        <v>0.45146488600000001</v>
      </c>
      <c r="W108" s="2" t="s">
        <v>25</v>
      </c>
      <c r="X108">
        <v>0.51554332899999999</v>
      </c>
      <c r="Y108">
        <v>50000</v>
      </c>
      <c r="AA108" s="2" t="s">
        <v>25</v>
      </c>
      <c r="AB108">
        <v>0.51554332899999999</v>
      </c>
      <c r="AD108" s="2" t="s">
        <v>57</v>
      </c>
      <c r="AK108">
        <v>0.70151465047120221</v>
      </c>
      <c r="BA108">
        <v>27000</v>
      </c>
      <c r="BQ108">
        <v>0.812876606</v>
      </c>
      <c r="CG108">
        <v>0.58635926739580513</v>
      </c>
      <c r="CW108">
        <v>14000</v>
      </c>
      <c r="DM108">
        <v>43000</v>
      </c>
      <c r="EC108">
        <v>4.3903517000000003E-2</v>
      </c>
      <c r="EM108">
        <v>0.70151465047120221</v>
      </c>
      <c r="EN108">
        <v>27000</v>
      </c>
      <c r="EO108">
        <v>0.812876606</v>
      </c>
      <c r="EP108">
        <v>0.58635926739580513</v>
      </c>
      <c r="EQ108">
        <v>14000</v>
      </c>
      <c r="ER108">
        <v>43000</v>
      </c>
      <c r="ES108">
        <v>4.3903517000000003E-2</v>
      </c>
    </row>
    <row r="109" spans="1:149" x14ac:dyDescent="0.3">
      <c r="A109" s="2" t="s">
        <v>34</v>
      </c>
      <c r="B109">
        <v>52000</v>
      </c>
      <c r="D109" s="2" t="s">
        <v>113</v>
      </c>
      <c r="E109">
        <v>53000</v>
      </c>
      <c r="G109" s="2" t="s">
        <v>113</v>
      </c>
      <c r="H109">
        <v>53000</v>
      </c>
      <c r="I109">
        <v>7.1597528999999993E-2</v>
      </c>
      <c r="J109">
        <f t="shared" ref="J109:K109" si="22">J45</f>
        <v>68500</v>
      </c>
      <c r="K109">
        <f t="shared" si="22"/>
        <v>50000</v>
      </c>
      <c r="M109" s="2" t="s">
        <v>98</v>
      </c>
      <c r="N109">
        <v>17000</v>
      </c>
      <c r="Q109" s="2" t="s">
        <v>196</v>
      </c>
      <c r="R109">
        <v>0.7497752947604025</v>
      </c>
      <c r="T109" s="2" t="s">
        <v>59</v>
      </c>
      <c r="U109">
        <v>0.448732309</v>
      </c>
      <c r="W109" s="2" t="s">
        <v>101</v>
      </c>
      <c r="X109">
        <v>0.72803259099999995</v>
      </c>
      <c r="Y109">
        <v>48000</v>
      </c>
      <c r="AA109" s="2" t="s">
        <v>101</v>
      </c>
      <c r="AB109">
        <v>0.72803259099999995</v>
      </c>
      <c r="AD109" s="2" t="s">
        <v>198</v>
      </c>
      <c r="AH109">
        <v>0.82521451911411792</v>
      </c>
      <c r="AX109">
        <v>55000</v>
      </c>
      <c r="BN109">
        <v>0.41792479999999999</v>
      </c>
      <c r="CD109">
        <v>0.7357793878379234</v>
      </c>
      <c r="CT109">
        <v>25000</v>
      </c>
      <c r="DJ109">
        <v>60000</v>
      </c>
      <c r="DZ109">
        <v>5.1377531999999997E-2</v>
      </c>
      <c r="EM109">
        <v>0.82521451911411792</v>
      </c>
      <c r="EN109">
        <v>55000</v>
      </c>
      <c r="EO109">
        <v>0.41792479999999999</v>
      </c>
      <c r="EP109">
        <v>0.7357793878379234</v>
      </c>
      <c r="EQ109">
        <v>25000</v>
      </c>
      <c r="ER109">
        <v>60000</v>
      </c>
      <c r="ES109">
        <v>5.1377531999999997E-2</v>
      </c>
    </row>
    <row r="110" spans="1:149" x14ac:dyDescent="0.3">
      <c r="A110" s="2" t="s">
        <v>173</v>
      </c>
      <c r="B110">
        <v>52000</v>
      </c>
      <c r="D110" s="2" t="s">
        <v>169</v>
      </c>
      <c r="E110">
        <v>54000</v>
      </c>
      <c r="G110" s="2" t="s">
        <v>169</v>
      </c>
      <c r="H110">
        <v>54000</v>
      </c>
      <c r="I110">
        <v>6.9008490000000006E-2</v>
      </c>
      <c r="J110">
        <f t="shared" ref="J110:K110" si="23">J46</f>
        <v>69000</v>
      </c>
      <c r="K110">
        <f t="shared" si="23"/>
        <v>50000</v>
      </c>
      <c r="M110" s="2" t="s">
        <v>161</v>
      </c>
      <c r="N110">
        <v>17000</v>
      </c>
      <c r="Q110" s="2" t="s">
        <v>163</v>
      </c>
      <c r="R110">
        <v>0.7507641894700805</v>
      </c>
      <c r="T110" s="2" t="s">
        <v>148</v>
      </c>
      <c r="U110">
        <v>0.44809867799999997</v>
      </c>
      <c r="W110" s="2" t="s">
        <v>36</v>
      </c>
      <c r="X110">
        <v>0.69036528799999997</v>
      </c>
      <c r="Y110">
        <v>58000</v>
      </c>
      <c r="AA110" s="2" t="s">
        <v>36</v>
      </c>
      <c r="AB110">
        <v>0.69036528799999997</v>
      </c>
      <c r="AD110" s="2" t="s">
        <v>25</v>
      </c>
      <c r="AE110">
        <v>0.82085434096071808</v>
      </c>
      <c r="AU110">
        <v>46000</v>
      </c>
      <c r="BK110">
        <v>0.51554332899999999</v>
      </c>
      <c r="CA110">
        <v>0.70422480257202613</v>
      </c>
      <c r="CQ110">
        <v>18000</v>
      </c>
      <c r="DG110">
        <v>50000</v>
      </c>
      <c r="DW110">
        <v>2.6147106E-2</v>
      </c>
      <c r="EM110">
        <v>0.82085434096071808</v>
      </c>
      <c r="EN110">
        <v>46000</v>
      </c>
      <c r="EO110">
        <v>0.51554332899999999</v>
      </c>
      <c r="EP110">
        <v>0.70422480257202613</v>
      </c>
      <c r="EQ110">
        <v>18000</v>
      </c>
      <c r="ER110">
        <v>50000</v>
      </c>
      <c r="ES110">
        <v>2.6147106E-2</v>
      </c>
    </row>
    <row r="111" spans="1:149" x14ac:dyDescent="0.3">
      <c r="A111" s="2" t="s">
        <v>123</v>
      </c>
      <c r="B111">
        <v>52000</v>
      </c>
      <c r="D111" s="2" t="s">
        <v>207</v>
      </c>
      <c r="E111">
        <v>54000</v>
      </c>
      <c r="G111" s="2" t="s">
        <v>207</v>
      </c>
      <c r="H111">
        <v>54000</v>
      </c>
      <c r="I111">
        <v>6.0748094000000002E-2</v>
      </c>
      <c r="J111">
        <f t="shared" ref="J111:K111" si="24">J47</f>
        <v>70000</v>
      </c>
      <c r="K111">
        <f t="shared" si="24"/>
        <v>52444.444444444445</v>
      </c>
      <c r="M111" s="2" t="s">
        <v>96</v>
      </c>
      <c r="N111">
        <v>17000</v>
      </c>
      <c r="Q111" s="2" t="s">
        <v>200</v>
      </c>
      <c r="R111">
        <v>0.7507929040775756</v>
      </c>
      <c r="T111" s="2" t="s">
        <v>180</v>
      </c>
      <c r="U111">
        <v>0.44458228500000002</v>
      </c>
      <c r="W111" s="2" t="s">
        <v>30</v>
      </c>
      <c r="X111">
        <v>0.222695002</v>
      </c>
      <c r="Y111">
        <v>62000</v>
      </c>
      <c r="AA111" s="2" t="s">
        <v>30</v>
      </c>
      <c r="AB111">
        <v>0.222695002</v>
      </c>
      <c r="AD111" s="2" t="s">
        <v>101</v>
      </c>
      <c r="AN111">
        <v>0.64729196766761687</v>
      </c>
      <c r="BD111">
        <v>35500</v>
      </c>
      <c r="BT111">
        <v>0.72803259099999995</v>
      </c>
      <c r="CJ111">
        <v>0.65013412766245526</v>
      </c>
      <c r="CZ111">
        <v>17000</v>
      </c>
      <c r="DP111">
        <v>48000</v>
      </c>
      <c r="EF111">
        <v>5.8792542000000003E-2</v>
      </c>
      <c r="EM111">
        <v>0.64729196766761687</v>
      </c>
      <c r="EN111">
        <v>35500</v>
      </c>
      <c r="EO111">
        <v>0.72803259099999995</v>
      </c>
      <c r="EP111">
        <v>0.65013412766245526</v>
      </c>
      <c r="EQ111">
        <v>17000</v>
      </c>
      <c r="ER111">
        <v>48000</v>
      </c>
      <c r="ES111">
        <v>5.8792542000000003E-2</v>
      </c>
    </row>
    <row r="112" spans="1:149" x14ac:dyDescent="0.3">
      <c r="A112" s="2" t="s">
        <v>37</v>
      </c>
      <c r="B112">
        <v>52000</v>
      </c>
      <c r="D112" s="2" t="s">
        <v>27</v>
      </c>
      <c r="E112">
        <v>54000</v>
      </c>
      <c r="G112" s="2" t="s">
        <v>27</v>
      </c>
      <c r="H112">
        <v>54000</v>
      </c>
      <c r="I112">
        <v>2.8636058999999998E-2</v>
      </c>
      <c r="J112">
        <f t="shared" ref="J112:K112" si="25">J48</f>
        <v>70300</v>
      </c>
      <c r="K112">
        <f t="shared" si="25"/>
        <v>48000</v>
      </c>
      <c r="M112" s="2" t="s">
        <v>28</v>
      </c>
      <c r="N112">
        <v>17000</v>
      </c>
      <c r="Q112" s="2" t="s">
        <v>44</v>
      </c>
      <c r="R112">
        <v>0.75205690450222906</v>
      </c>
      <c r="T112" s="2" t="s">
        <v>142</v>
      </c>
      <c r="U112">
        <v>0.441355573</v>
      </c>
      <c r="W112" s="2" t="s">
        <v>177</v>
      </c>
      <c r="X112">
        <v>0.66703385299999995</v>
      </c>
      <c r="Y112">
        <v>45000</v>
      </c>
      <c r="AA112" s="2" t="s">
        <v>177</v>
      </c>
      <c r="AB112">
        <v>0.66703385299999995</v>
      </c>
      <c r="AD112" s="2" t="s">
        <v>36</v>
      </c>
      <c r="AE112">
        <v>0.82136932902048598</v>
      </c>
      <c r="AU112">
        <v>39500</v>
      </c>
      <c r="BK112">
        <v>0.69036528799999997</v>
      </c>
      <c r="CA112">
        <v>0.69445764395870235</v>
      </c>
      <c r="CQ112">
        <v>19000</v>
      </c>
      <c r="DG112">
        <v>58000</v>
      </c>
      <c r="DW112">
        <v>4.2563328999999997E-2</v>
      </c>
      <c r="EM112">
        <v>0.82136932902048598</v>
      </c>
      <c r="EN112">
        <v>39500</v>
      </c>
      <c r="EO112">
        <v>0.69036528799999997</v>
      </c>
      <c r="EP112">
        <v>0.69445764395870235</v>
      </c>
      <c r="EQ112">
        <v>19000</v>
      </c>
      <c r="ER112">
        <v>58000</v>
      </c>
      <c r="ES112">
        <v>4.2563328999999997E-2</v>
      </c>
    </row>
    <row r="113" spans="1:149" x14ac:dyDescent="0.3">
      <c r="A113" s="2" t="s">
        <v>112</v>
      </c>
      <c r="B113">
        <v>51000</v>
      </c>
      <c r="D113" s="2" t="s">
        <v>208</v>
      </c>
      <c r="E113">
        <v>54000</v>
      </c>
      <c r="G113" s="2" t="s">
        <v>208</v>
      </c>
      <c r="H113">
        <v>54000</v>
      </c>
      <c r="I113">
        <v>7.1353708000000002E-2</v>
      </c>
      <c r="J113">
        <f t="shared" ref="J113:K113" si="26">J49</f>
        <v>71000</v>
      </c>
      <c r="K113">
        <f t="shared" si="26"/>
        <v>49000</v>
      </c>
      <c r="M113" s="2" t="s">
        <v>202</v>
      </c>
      <c r="N113">
        <v>17000</v>
      </c>
      <c r="Q113" s="2" t="s">
        <v>182</v>
      </c>
      <c r="R113">
        <v>0.75294705116544502</v>
      </c>
      <c r="T113" s="2" t="s">
        <v>81</v>
      </c>
      <c r="U113">
        <v>0.437846874</v>
      </c>
      <c r="W113" s="2" t="s">
        <v>206</v>
      </c>
      <c r="X113">
        <v>0.35546905899999998</v>
      </c>
      <c r="Y113">
        <v>65000</v>
      </c>
      <c r="AA113" s="2" t="s">
        <v>206</v>
      </c>
      <c r="AB113">
        <v>0.35546905899999998</v>
      </c>
      <c r="AD113" s="2" t="s">
        <v>30</v>
      </c>
      <c r="AE113">
        <v>0.73618424859672471</v>
      </c>
      <c r="AU113">
        <v>51500</v>
      </c>
      <c r="BK113">
        <v>0.222695002</v>
      </c>
      <c r="CA113">
        <v>0.71173805601317952</v>
      </c>
      <c r="CQ113">
        <v>9000</v>
      </c>
      <c r="DG113">
        <v>62000</v>
      </c>
      <c r="DW113">
        <v>4.9188445999999997E-2</v>
      </c>
      <c r="EM113">
        <v>0.73618424859672471</v>
      </c>
      <c r="EN113">
        <v>51500</v>
      </c>
      <c r="EO113">
        <v>0.222695002</v>
      </c>
      <c r="EP113">
        <v>0.71173805601317952</v>
      </c>
      <c r="EQ113">
        <v>9000</v>
      </c>
      <c r="ER113">
        <v>62000</v>
      </c>
      <c r="ES113">
        <v>4.9188445999999997E-2</v>
      </c>
    </row>
    <row r="114" spans="1:149" x14ac:dyDescent="0.3">
      <c r="A114" s="2" t="s">
        <v>104</v>
      </c>
      <c r="B114">
        <v>50000</v>
      </c>
      <c r="D114" s="2" t="s">
        <v>121</v>
      </c>
      <c r="E114">
        <v>55000</v>
      </c>
      <c r="G114" s="2" t="s">
        <v>121</v>
      </c>
      <c r="H114">
        <v>55000</v>
      </c>
      <c r="I114">
        <v>4.8362599999999999E-2</v>
      </c>
      <c r="J114">
        <f t="shared" ref="J114:K114" si="27">J50</f>
        <v>72000</v>
      </c>
      <c r="K114">
        <f t="shared" si="27"/>
        <v>61333.333333333336</v>
      </c>
      <c r="M114" s="2" t="s">
        <v>108</v>
      </c>
      <c r="N114">
        <v>16000</v>
      </c>
      <c r="Q114" s="2" t="s">
        <v>202</v>
      </c>
      <c r="R114">
        <v>0.75376675598925569</v>
      </c>
      <c r="T114" s="2" t="s">
        <v>157</v>
      </c>
      <c r="U114">
        <v>0.43630163300000002</v>
      </c>
      <c r="W114" s="2" t="s">
        <v>183</v>
      </c>
      <c r="X114">
        <v>0.68699295199999999</v>
      </c>
      <c r="Y114">
        <v>47000</v>
      </c>
      <c r="AA114" s="2" t="s">
        <v>183</v>
      </c>
      <c r="AB114">
        <v>0.68699295199999999</v>
      </c>
      <c r="AD114" s="2" t="s">
        <v>177</v>
      </c>
      <c r="AF114">
        <v>0.66349580448675705</v>
      </c>
      <c r="AV114">
        <v>40000</v>
      </c>
      <c r="BL114">
        <v>0.66703385299999995</v>
      </c>
      <c r="CB114">
        <v>0.67655137325796688</v>
      </c>
      <c r="CR114">
        <v>12000</v>
      </c>
      <c r="DH114">
        <v>45000</v>
      </c>
      <c r="DX114">
        <v>7.1753267999999995E-2</v>
      </c>
      <c r="EM114">
        <v>0.66349580448675705</v>
      </c>
      <c r="EN114">
        <v>40000</v>
      </c>
      <c r="EO114">
        <v>0.66703385299999995</v>
      </c>
      <c r="EP114">
        <v>0.67655137325796688</v>
      </c>
      <c r="EQ114">
        <v>12000</v>
      </c>
      <c r="ER114">
        <v>45000</v>
      </c>
      <c r="ES114">
        <v>7.1753267999999995E-2</v>
      </c>
    </row>
    <row r="115" spans="1:149" x14ac:dyDescent="0.3">
      <c r="A115" s="2" t="s">
        <v>44</v>
      </c>
      <c r="B115">
        <v>50000</v>
      </c>
      <c r="D115" s="2" t="s">
        <v>190</v>
      </c>
      <c r="E115">
        <v>55000</v>
      </c>
      <c r="G115" s="2" t="s">
        <v>190</v>
      </c>
      <c r="H115">
        <v>55000</v>
      </c>
      <c r="I115">
        <v>3.1356845000000001E-2</v>
      </c>
      <c r="J115">
        <f t="shared" ref="J115:K115" si="28">J51</f>
        <v>73000</v>
      </c>
      <c r="K115">
        <f t="shared" si="28"/>
        <v>54500</v>
      </c>
      <c r="M115" s="2" t="s">
        <v>80</v>
      </c>
      <c r="N115">
        <v>16000</v>
      </c>
      <c r="Q115" s="2" t="s">
        <v>211</v>
      </c>
      <c r="R115">
        <v>0.75395365585433027</v>
      </c>
      <c r="T115" s="2" t="s">
        <v>191</v>
      </c>
      <c r="U115">
        <v>0.43429844099999998</v>
      </c>
      <c r="W115" s="2" t="s">
        <v>103</v>
      </c>
      <c r="X115">
        <v>0.75214388399999998</v>
      </c>
      <c r="Y115">
        <v>40500</v>
      </c>
      <c r="AA115" s="2" t="s">
        <v>103</v>
      </c>
      <c r="AB115">
        <v>0.75214388399999998</v>
      </c>
      <c r="AD115" s="2" t="s">
        <v>206</v>
      </c>
      <c r="AH115">
        <v>0.8365720812129761</v>
      </c>
      <c r="AX115">
        <v>55000</v>
      </c>
      <c r="BN115">
        <v>0.35546905899999998</v>
      </c>
      <c r="CD115">
        <v>0.82136138965498662</v>
      </c>
      <c r="CT115">
        <v>25000</v>
      </c>
      <c r="DJ115">
        <v>65000</v>
      </c>
      <c r="DZ115">
        <v>4.8472930999999997E-2</v>
      </c>
      <c r="EM115">
        <v>0.8365720812129761</v>
      </c>
      <c r="EN115">
        <v>55000</v>
      </c>
      <c r="EO115">
        <v>0.35546905899999998</v>
      </c>
      <c r="EP115">
        <v>0.82136138965498662</v>
      </c>
      <c r="EQ115">
        <v>25000</v>
      </c>
      <c r="ER115">
        <v>65000</v>
      </c>
      <c r="ES115">
        <v>4.8472930999999997E-2</v>
      </c>
    </row>
    <row r="116" spans="1:149" x14ac:dyDescent="0.3">
      <c r="A116" s="2" t="s">
        <v>120</v>
      </c>
      <c r="B116">
        <v>50000</v>
      </c>
      <c r="D116" s="2" t="s">
        <v>53</v>
      </c>
      <c r="E116">
        <v>55000</v>
      </c>
      <c r="G116" s="2" t="s">
        <v>53</v>
      </c>
      <c r="H116">
        <v>55000</v>
      </c>
      <c r="I116">
        <v>7.5045724999999994E-2</v>
      </c>
      <c r="J116">
        <f t="shared" ref="J116:K116" si="29">J52</f>
        <v>74000</v>
      </c>
      <c r="K116">
        <f t="shared" si="29"/>
        <v>64500</v>
      </c>
      <c r="M116" s="2" t="s">
        <v>151</v>
      </c>
      <c r="N116">
        <v>16000</v>
      </c>
      <c r="Q116" s="2" t="s">
        <v>162</v>
      </c>
      <c r="R116">
        <v>0.75409281558652419</v>
      </c>
      <c r="T116" s="2" t="s">
        <v>151</v>
      </c>
      <c r="U116">
        <v>0.43053676099999999</v>
      </c>
      <c r="W116" s="2" t="s">
        <v>34</v>
      </c>
      <c r="X116">
        <v>0.58455613299999998</v>
      </c>
      <c r="Y116">
        <v>52000</v>
      </c>
      <c r="AA116" s="2" t="s">
        <v>34</v>
      </c>
      <c r="AB116">
        <v>0.58455613299999998</v>
      </c>
      <c r="AD116" s="2" t="s">
        <v>183</v>
      </c>
      <c r="AF116">
        <v>0.64377479075902688</v>
      </c>
      <c r="AV116">
        <v>40000</v>
      </c>
      <c r="BL116">
        <v>0.68699295199999999</v>
      </c>
      <c r="CB116">
        <v>0.80632621266141358</v>
      </c>
      <c r="CR116">
        <v>7000</v>
      </c>
      <c r="DH116">
        <v>47000</v>
      </c>
      <c r="DX116">
        <v>8.5618911000000006E-2</v>
      </c>
      <c r="EM116">
        <v>0.64377479075902688</v>
      </c>
      <c r="EN116">
        <v>40000</v>
      </c>
      <c r="EO116">
        <v>0.68699295199999999</v>
      </c>
      <c r="EP116">
        <v>0.80632621266141358</v>
      </c>
      <c r="EQ116">
        <v>7000</v>
      </c>
      <c r="ER116">
        <v>47000</v>
      </c>
      <c r="ES116">
        <v>8.5618911000000006E-2</v>
      </c>
    </row>
    <row r="117" spans="1:149" x14ac:dyDescent="0.3">
      <c r="A117" s="2" t="s">
        <v>25</v>
      </c>
      <c r="B117">
        <v>50000</v>
      </c>
      <c r="D117" s="2" t="s">
        <v>170</v>
      </c>
      <c r="E117">
        <v>55000</v>
      </c>
      <c r="G117" s="2" t="s">
        <v>170</v>
      </c>
      <c r="H117">
        <v>55000</v>
      </c>
      <c r="I117">
        <v>7.0313269999999997E-2</v>
      </c>
      <c r="J117">
        <f t="shared" ref="J117:K117" si="30">J53</f>
        <v>75000</v>
      </c>
      <c r="K117">
        <f t="shared" si="30"/>
        <v>56833.333333333336</v>
      </c>
      <c r="M117" s="2" t="s">
        <v>81</v>
      </c>
      <c r="N117">
        <v>16000</v>
      </c>
      <c r="Q117" s="2" t="s">
        <v>186</v>
      </c>
      <c r="R117">
        <v>0.75561038655857127</v>
      </c>
      <c r="T117" s="2" t="s">
        <v>127</v>
      </c>
      <c r="U117">
        <v>0.42968496299999998</v>
      </c>
      <c r="W117" s="2" t="s">
        <v>83</v>
      </c>
      <c r="X117">
        <v>0.55854800900000001</v>
      </c>
      <c r="Y117">
        <v>70000</v>
      </c>
      <c r="AA117" s="2" t="s">
        <v>83</v>
      </c>
      <c r="AB117">
        <v>0.55854800900000001</v>
      </c>
      <c r="AD117" s="2" t="s">
        <v>103</v>
      </c>
      <c r="AO117">
        <v>0.63814806382846612</v>
      </c>
      <c r="BE117">
        <v>30000</v>
      </c>
      <c r="BU117">
        <v>0.75214388399999998</v>
      </c>
      <c r="CK117">
        <v>0.60090090986424172</v>
      </c>
      <c r="DA117">
        <v>16000</v>
      </c>
      <c r="DQ117">
        <v>40500</v>
      </c>
      <c r="EG117">
        <v>5.5784848999999997E-2</v>
      </c>
      <c r="EM117">
        <v>0.63814806382846612</v>
      </c>
      <c r="EN117">
        <v>30000</v>
      </c>
      <c r="EO117">
        <v>0.75214388399999998</v>
      </c>
      <c r="EP117">
        <v>0.60090090986424172</v>
      </c>
      <c r="EQ117">
        <v>16000</v>
      </c>
      <c r="ER117">
        <v>40500</v>
      </c>
      <c r="ES117">
        <v>5.5784848999999997E-2</v>
      </c>
    </row>
    <row r="118" spans="1:149" x14ac:dyDescent="0.3">
      <c r="A118" s="2" t="s">
        <v>109</v>
      </c>
      <c r="B118">
        <v>50000</v>
      </c>
      <c r="D118" s="2" t="s">
        <v>147</v>
      </c>
      <c r="E118">
        <v>55000</v>
      </c>
      <c r="G118" s="2" t="s">
        <v>147</v>
      </c>
      <c r="H118">
        <v>55000</v>
      </c>
      <c r="I118">
        <v>5.3895090999999999E-2</v>
      </c>
      <c r="J118">
        <f t="shared" ref="J118:K118" si="31">J54</f>
        <v>76000</v>
      </c>
      <c r="K118">
        <f t="shared" si="31"/>
        <v>55000</v>
      </c>
      <c r="M118" s="2" t="s">
        <v>100</v>
      </c>
      <c r="N118">
        <v>16000</v>
      </c>
      <c r="Q118" s="2" t="s">
        <v>83</v>
      </c>
      <c r="R118">
        <v>0.75668408113091579</v>
      </c>
      <c r="T118" s="2" t="s">
        <v>140</v>
      </c>
      <c r="U118">
        <v>0.42692372000000001</v>
      </c>
      <c r="W118" s="2" t="s">
        <v>107</v>
      </c>
      <c r="X118">
        <v>0.33967098200000001</v>
      </c>
      <c r="Y118">
        <v>50000</v>
      </c>
      <c r="AA118" s="2" t="s">
        <v>107</v>
      </c>
      <c r="AB118">
        <v>0.33967098200000001</v>
      </c>
      <c r="AD118" s="2" t="s">
        <v>34</v>
      </c>
      <c r="AG118">
        <v>0.74470902490810709</v>
      </c>
      <c r="AW118">
        <v>37000</v>
      </c>
      <c r="BM118">
        <v>0.58455613299999998</v>
      </c>
      <c r="CC118">
        <v>0.82560835391024068</v>
      </c>
      <c r="CS118">
        <v>13000</v>
      </c>
      <c r="DI118">
        <v>52000</v>
      </c>
      <c r="DY118">
        <v>5.1289827000000003E-2</v>
      </c>
      <c r="EM118">
        <v>0.74470902490810709</v>
      </c>
      <c r="EN118">
        <v>37000</v>
      </c>
      <c r="EO118">
        <v>0.58455613299999998</v>
      </c>
      <c r="EP118">
        <v>0.82560835391024068</v>
      </c>
      <c r="EQ118">
        <v>13000</v>
      </c>
      <c r="ER118">
        <v>52000</v>
      </c>
      <c r="ES118">
        <v>5.1289827000000003E-2</v>
      </c>
    </row>
    <row r="119" spans="1:149" x14ac:dyDescent="0.3">
      <c r="A119" s="2" t="s">
        <v>187</v>
      </c>
      <c r="B119">
        <v>50000</v>
      </c>
      <c r="D119" s="2" t="s">
        <v>54</v>
      </c>
      <c r="E119">
        <v>55000</v>
      </c>
      <c r="G119" s="2" t="s">
        <v>54</v>
      </c>
      <c r="H119">
        <v>55000</v>
      </c>
      <c r="I119">
        <v>5.8694120000000002E-2</v>
      </c>
      <c r="J119">
        <f t="shared" ref="J119:K119" si="32">J55</f>
        <v>77000</v>
      </c>
      <c r="K119">
        <f t="shared" si="32"/>
        <v>60000</v>
      </c>
      <c r="M119" s="2" t="s">
        <v>191</v>
      </c>
      <c r="N119">
        <v>16000</v>
      </c>
      <c r="Q119" s="2" t="s">
        <v>126</v>
      </c>
      <c r="R119">
        <v>0.75820366040474074</v>
      </c>
      <c r="T119" s="2" t="s">
        <v>65</v>
      </c>
      <c r="U119">
        <v>0.423208896</v>
      </c>
      <c r="W119" s="2" t="s">
        <v>94</v>
      </c>
      <c r="X119">
        <v>9.0712508999999997E-2</v>
      </c>
      <c r="Y119">
        <v>63000</v>
      </c>
      <c r="AA119" s="2" t="s">
        <v>94</v>
      </c>
      <c r="AB119">
        <v>9.0712508999999997E-2</v>
      </c>
      <c r="AD119" s="2" t="s">
        <v>83</v>
      </c>
      <c r="AL119">
        <v>0.82282465224895929</v>
      </c>
      <c r="BB119">
        <v>45000</v>
      </c>
      <c r="BR119">
        <v>0.55854800900000001</v>
      </c>
      <c r="CH119">
        <v>0.75668408113091579</v>
      </c>
      <c r="CX119">
        <v>9100</v>
      </c>
      <c r="DN119">
        <v>70000</v>
      </c>
      <c r="ED119">
        <v>4.5732003E-2</v>
      </c>
      <c r="EM119">
        <v>0.82282465224895929</v>
      </c>
      <c r="EN119">
        <v>45000</v>
      </c>
      <c r="EO119">
        <v>0.55854800900000001</v>
      </c>
      <c r="EP119">
        <v>0.75668408113091579</v>
      </c>
      <c r="EQ119">
        <v>9100</v>
      </c>
      <c r="ER119">
        <v>70000</v>
      </c>
      <c r="ES119">
        <v>4.5732003E-2</v>
      </c>
    </row>
    <row r="120" spans="1:149" x14ac:dyDescent="0.3">
      <c r="A120" s="2" t="s">
        <v>160</v>
      </c>
      <c r="B120">
        <v>50000</v>
      </c>
      <c r="D120" s="2" t="s">
        <v>205</v>
      </c>
      <c r="E120">
        <v>56000</v>
      </c>
      <c r="G120" s="2" t="s">
        <v>205</v>
      </c>
      <c r="H120">
        <v>56000</v>
      </c>
      <c r="I120">
        <v>5.5032889000000002E-2</v>
      </c>
      <c r="J120">
        <f t="shared" ref="J120:K120" si="33">J56</f>
        <v>78000</v>
      </c>
      <c r="K120">
        <f t="shared" si="33"/>
        <v>64000</v>
      </c>
      <c r="M120" s="2" t="s">
        <v>66</v>
      </c>
      <c r="N120">
        <v>16000</v>
      </c>
      <c r="Q120" s="2" t="s">
        <v>108</v>
      </c>
      <c r="R120">
        <v>0.75852459846987885</v>
      </c>
      <c r="T120" s="2" t="s">
        <v>198</v>
      </c>
      <c r="U120">
        <v>0.41792479999999999</v>
      </c>
      <c r="W120" s="2" t="s">
        <v>82</v>
      </c>
      <c r="X120">
        <v>0.18398518899999999</v>
      </c>
      <c r="Y120">
        <v>65000</v>
      </c>
      <c r="AA120" s="2" t="s">
        <v>82</v>
      </c>
      <c r="AB120">
        <v>0.18398518899999999</v>
      </c>
      <c r="AD120" s="2" t="s">
        <v>107</v>
      </c>
      <c r="AN120">
        <v>0.68026695557229555</v>
      </c>
      <c r="BD120">
        <v>42100</v>
      </c>
      <c r="BT120">
        <v>0.33967098200000001</v>
      </c>
      <c r="CJ120">
        <v>0.645231816953034</v>
      </c>
      <c r="CZ120">
        <v>17000</v>
      </c>
      <c r="DP120">
        <v>50000</v>
      </c>
      <c r="EF120">
        <v>6.8645304000000004E-2</v>
      </c>
      <c r="EM120">
        <v>0.68026695557229555</v>
      </c>
      <c r="EN120">
        <v>42100</v>
      </c>
      <c r="EO120">
        <v>0.33967098200000001</v>
      </c>
      <c r="EP120">
        <v>0.645231816953034</v>
      </c>
      <c r="EQ120">
        <v>17000</v>
      </c>
      <c r="ER120">
        <v>50000</v>
      </c>
      <c r="ES120">
        <v>6.8645304000000004E-2</v>
      </c>
    </row>
    <row r="121" spans="1:149" x14ac:dyDescent="0.3">
      <c r="A121" s="2" t="s">
        <v>72</v>
      </c>
      <c r="B121">
        <v>50000</v>
      </c>
      <c r="D121" s="2" t="s">
        <v>161</v>
      </c>
      <c r="E121">
        <v>56000</v>
      </c>
      <c r="G121" s="2" t="s">
        <v>161</v>
      </c>
      <c r="H121">
        <v>56000</v>
      </c>
      <c r="I121">
        <v>6.9654917999999996E-2</v>
      </c>
      <c r="J121">
        <f t="shared" ref="J121:K121" si="34">J57</f>
        <v>79000</v>
      </c>
      <c r="K121">
        <f t="shared" si="34"/>
        <v>52000</v>
      </c>
      <c r="M121" s="2" t="s">
        <v>160</v>
      </c>
      <c r="N121">
        <v>16000</v>
      </c>
      <c r="Q121" s="2" t="s">
        <v>123</v>
      </c>
      <c r="R121">
        <v>0.75871924869849261</v>
      </c>
      <c r="T121" s="2" t="s">
        <v>138</v>
      </c>
      <c r="U121">
        <v>0.41680957400000002</v>
      </c>
      <c r="W121" s="2" t="s">
        <v>95</v>
      </c>
      <c r="X121">
        <v>0.17412250500000001</v>
      </c>
      <c r="Y121">
        <v>74000</v>
      </c>
      <c r="AA121" s="2" t="s">
        <v>95</v>
      </c>
      <c r="AB121">
        <v>0.17412250500000001</v>
      </c>
      <c r="AD121" s="2" t="s">
        <v>94</v>
      </c>
      <c r="AL121">
        <v>0.85213607069297725</v>
      </c>
      <c r="BB121">
        <v>53000</v>
      </c>
      <c r="BR121">
        <v>9.0712508999999997E-2</v>
      </c>
      <c r="CH121">
        <v>0.80525386549676314</v>
      </c>
      <c r="CX121">
        <v>9000</v>
      </c>
      <c r="DN121">
        <v>63000</v>
      </c>
      <c r="ED121">
        <v>4.6711214000000001E-2</v>
      </c>
      <c r="EM121">
        <v>0.85213607069297725</v>
      </c>
      <c r="EN121">
        <v>53000</v>
      </c>
      <c r="EO121">
        <v>9.0712508999999997E-2</v>
      </c>
      <c r="EP121">
        <v>0.80525386549676314</v>
      </c>
      <c r="EQ121">
        <v>9000</v>
      </c>
      <c r="ER121">
        <v>63000</v>
      </c>
      <c r="ES121">
        <v>4.6711214000000001E-2</v>
      </c>
    </row>
    <row r="122" spans="1:149" x14ac:dyDescent="0.3">
      <c r="A122" s="2" t="s">
        <v>31</v>
      </c>
      <c r="B122">
        <v>50000</v>
      </c>
      <c r="D122" s="2" t="s">
        <v>150</v>
      </c>
      <c r="E122">
        <v>56000</v>
      </c>
      <c r="G122" s="2" t="s">
        <v>150</v>
      </c>
      <c r="H122">
        <v>56000</v>
      </c>
      <c r="I122">
        <v>4.5231123999999998E-2</v>
      </c>
      <c r="J122">
        <f t="shared" ref="J122:K122" si="35">J58</f>
        <v>80000</v>
      </c>
      <c r="K122">
        <f t="shared" si="35"/>
        <v>60800</v>
      </c>
      <c r="M122" s="2" t="s">
        <v>103</v>
      </c>
      <c r="N122">
        <v>16000</v>
      </c>
      <c r="Q122" s="2" t="s">
        <v>130</v>
      </c>
      <c r="R122">
        <v>0.76200070696359135</v>
      </c>
      <c r="T122" s="2" t="s">
        <v>186</v>
      </c>
      <c r="U122">
        <v>0.41017964099999998</v>
      </c>
      <c r="W122" s="2" t="s">
        <v>61</v>
      </c>
      <c r="X122">
        <v>0.92374547900000004</v>
      </c>
      <c r="Y122">
        <v>40000</v>
      </c>
      <c r="AA122" s="2" t="s">
        <v>61</v>
      </c>
      <c r="AB122">
        <v>0.92374547900000004</v>
      </c>
      <c r="AD122" s="2" t="s">
        <v>82</v>
      </c>
      <c r="AL122">
        <v>0.82212086659064998</v>
      </c>
      <c r="BB122">
        <v>55000</v>
      </c>
      <c r="BR122">
        <v>0.18398518899999999</v>
      </c>
      <c r="CH122">
        <v>0.7243708094451462</v>
      </c>
      <c r="CX122">
        <v>30000</v>
      </c>
      <c r="DN122">
        <v>65000</v>
      </c>
      <c r="ED122">
        <v>4.3804515000000002E-2</v>
      </c>
      <c r="EM122">
        <v>0.82212086659064998</v>
      </c>
      <c r="EN122">
        <v>55000</v>
      </c>
      <c r="EO122">
        <v>0.18398518899999999</v>
      </c>
      <c r="EP122">
        <v>0.7243708094451462</v>
      </c>
      <c r="EQ122">
        <v>30000</v>
      </c>
      <c r="ER122">
        <v>65000</v>
      </c>
      <c r="ES122">
        <v>4.3804515000000002E-2</v>
      </c>
    </row>
    <row r="123" spans="1:149" x14ac:dyDescent="0.3">
      <c r="A123" s="2" t="s">
        <v>165</v>
      </c>
      <c r="B123">
        <v>50000</v>
      </c>
      <c r="D123" s="2" t="s">
        <v>146</v>
      </c>
      <c r="E123">
        <v>57000</v>
      </c>
      <c r="G123" s="2" t="s">
        <v>146</v>
      </c>
      <c r="H123">
        <v>57000</v>
      </c>
      <c r="I123">
        <v>4.2792441000000001E-2</v>
      </c>
      <c r="J123">
        <f t="shared" ref="J123:K123" si="36">J59</f>
        <v>81000</v>
      </c>
      <c r="K123">
        <f t="shared" si="36"/>
        <v>65950</v>
      </c>
      <c r="M123" s="2" t="s">
        <v>69</v>
      </c>
      <c r="N123">
        <v>15000</v>
      </c>
      <c r="Q123" s="2" t="s">
        <v>207</v>
      </c>
      <c r="R123">
        <v>0.76294093146939779</v>
      </c>
      <c r="T123" s="2" t="s">
        <v>55</v>
      </c>
      <c r="U123">
        <v>0.38371900599999997</v>
      </c>
      <c r="W123" s="2" t="s">
        <v>175</v>
      </c>
      <c r="X123">
        <v>0.23244353200000001</v>
      </c>
      <c r="Y123">
        <v>48000</v>
      </c>
      <c r="AA123" s="2" t="s">
        <v>175</v>
      </c>
      <c r="AB123">
        <v>0.23244353200000001</v>
      </c>
      <c r="AD123" s="2" t="s">
        <v>95</v>
      </c>
      <c r="AL123">
        <v>0.8104124656278644</v>
      </c>
      <c r="BB123">
        <v>57000</v>
      </c>
      <c r="BR123">
        <v>0.17412250500000001</v>
      </c>
      <c r="CH123">
        <v>0.57911163956006628</v>
      </c>
      <c r="CX123">
        <v>32000</v>
      </c>
      <c r="DN123">
        <v>74000</v>
      </c>
      <c r="ED123">
        <v>5.4658256000000002E-2</v>
      </c>
      <c r="EM123">
        <v>0.8104124656278644</v>
      </c>
      <c r="EN123">
        <v>57000</v>
      </c>
      <c r="EO123">
        <v>0.17412250500000001</v>
      </c>
      <c r="EP123">
        <v>0.57911163956006628</v>
      </c>
      <c r="EQ123">
        <v>32000</v>
      </c>
      <c r="ER123">
        <v>74000</v>
      </c>
      <c r="ES123">
        <v>5.4658256000000002E-2</v>
      </c>
    </row>
    <row r="124" spans="1:149" x14ac:dyDescent="0.3">
      <c r="A124" s="2" t="s">
        <v>47</v>
      </c>
      <c r="B124">
        <v>50000</v>
      </c>
      <c r="D124" s="2" t="s">
        <v>36</v>
      </c>
      <c r="E124">
        <v>58000</v>
      </c>
      <c r="G124" s="2" t="s">
        <v>36</v>
      </c>
      <c r="H124">
        <v>58000</v>
      </c>
      <c r="I124">
        <v>4.2563328999999997E-2</v>
      </c>
      <c r="J124">
        <f t="shared" ref="J124:K124" si="37">J60</f>
        <v>82000</v>
      </c>
      <c r="K124">
        <f t="shared" si="37"/>
        <v>56000</v>
      </c>
      <c r="M124" s="2" t="s">
        <v>71</v>
      </c>
      <c r="N124">
        <v>15000</v>
      </c>
      <c r="Q124" s="2" t="s">
        <v>204</v>
      </c>
      <c r="R124">
        <v>0.76750896792725054</v>
      </c>
      <c r="T124" s="2" t="s">
        <v>205</v>
      </c>
      <c r="U124">
        <v>0.38290043299999998</v>
      </c>
      <c r="W124" s="2" t="s">
        <v>96</v>
      </c>
      <c r="X124">
        <v>0.32509188100000003</v>
      </c>
      <c r="Y124">
        <v>67000</v>
      </c>
      <c r="AA124" s="2" t="s">
        <v>96</v>
      </c>
      <c r="AB124">
        <v>0.32509188100000003</v>
      </c>
      <c r="AD124" s="2" t="s">
        <v>61</v>
      </c>
      <c r="AK124">
        <v>0.6123874624264547</v>
      </c>
      <c r="BA124">
        <v>19000</v>
      </c>
      <c r="BQ124">
        <v>0.92374547900000004</v>
      </c>
      <c r="CG124">
        <v>0.56638724933486606</v>
      </c>
      <c r="CW124">
        <v>15000</v>
      </c>
      <c r="DM124">
        <v>40000</v>
      </c>
      <c r="EC124">
        <v>3.8359164000000001E-2</v>
      </c>
      <c r="EM124">
        <v>0.6123874624264547</v>
      </c>
      <c r="EN124">
        <v>19000</v>
      </c>
      <c r="EO124">
        <v>0.92374547900000004</v>
      </c>
      <c r="EP124">
        <v>0.56638724933486606</v>
      </c>
      <c r="EQ124">
        <v>15000</v>
      </c>
      <c r="ER124">
        <v>40000</v>
      </c>
      <c r="ES124">
        <v>3.8359164000000001E-2</v>
      </c>
    </row>
    <row r="125" spans="1:149" x14ac:dyDescent="0.3">
      <c r="A125" s="2" t="s">
        <v>107</v>
      </c>
      <c r="B125">
        <v>50000</v>
      </c>
      <c r="D125" s="2" t="s">
        <v>59</v>
      </c>
      <c r="E125">
        <v>58000</v>
      </c>
      <c r="G125" s="2" t="s">
        <v>59</v>
      </c>
      <c r="H125">
        <v>58000</v>
      </c>
      <c r="I125">
        <v>0</v>
      </c>
      <c r="J125">
        <f t="shared" ref="J125:K125" si="38">J61</f>
        <v>84000</v>
      </c>
      <c r="K125">
        <f t="shared" si="38"/>
        <v>66666.666666666672</v>
      </c>
      <c r="M125" s="2" t="s">
        <v>168</v>
      </c>
      <c r="N125">
        <v>15000</v>
      </c>
      <c r="Q125" s="2" t="s">
        <v>93</v>
      </c>
      <c r="R125">
        <v>0.77019962810932185</v>
      </c>
      <c r="T125" s="2" t="s">
        <v>98</v>
      </c>
      <c r="U125">
        <v>0.37743732600000002</v>
      </c>
      <c r="W125" s="2" t="s">
        <v>81</v>
      </c>
      <c r="X125">
        <v>0.437846874</v>
      </c>
      <c r="Y125">
        <v>88000</v>
      </c>
      <c r="AA125" s="2" t="s">
        <v>81</v>
      </c>
      <c r="AB125">
        <v>0.437846874</v>
      </c>
      <c r="AD125" s="2" t="s">
        <v>175</v>
      </c>
      <c r="AO125">
        <v>0.82914253985880859</v>
      </c>
      <c r="BE125">
        <v>43000</v>
      </c>
      <c r="BU125">
        <v>0.23244353200000001</v>
      </c>
      <c r="CK125">
        <v>0.80166603077705711</v>
      </c>
      <c r="DA125">
        <v>12000</v>
      </c>
      <c r="DQ125">
        <v>48000</v>
      </c>
      <c r="EG125">
        <v>5.2033988000000003E-2</v>
      </c>
      <c r="EM125">
        <v>0.82914253985880859</v>
      </c>
      <c r="EN125">
        <v>43000</v>
      </c>
      <c r="EO125">
        <v>0.23244353200000001</v>
      </c>
      <c r="EP125">
        <v>0.80166603077705711</v>
      </c>
      <c r="EQ125">
        <v>12000</v>
      </c>
      <c r="ER125">
        <v>48000</v>
      </c>
      <c r="ES125">
        <v>5.2033988000000003E-2</v>
      </c>
    </row>
    <row r="126" spans="1:149" x14ac:dyDescent="0.3">
      <c r="A126" s="2" t="s">
        <v>114</v>
      </c>
      <c r="B126">
        <v>50000</v>
      </c>
      <c r="D126" s="2" t="s">
        <v>202</v>
      </c>
      <c r="E126">
        <v>58000</v>
      </c>
      <c r="G126" s="2" t="s">
        <v>202</v>
      </c>
      <c r="H126">
        <v>58000</v>
      </c>
      <c r="I126">
        <v>5.8865336999999997E-2</v>
      </c>
      <c r="J126">
        <f t="shared" ref="J126:K126" si="39">J62</f>
        <v>84500</v>
      </c>
      <c r="K126">
        <f t="shared" si="39"/>
        <v>70000</v>
      </c>
      <c r="M126" s="2" t="s">
        <v>61</v>
      </c>
      <c r="N126">
        <v>15000</v>
      </c>
      <c r="Q126" s="2" t="s">
        <v>59</v>
      </c>
      <c r="R126">
        <v>0.77111716621253401</v>
      </c>
      <c r="T126" s="2" t="s">
        <v>182</v>
      </c>
      <c r="U126">
        <v>0.37435562300000003</v>
      </c>
      <c r="W126" s="2" t="s">
        <v>154</v>
      </c>
      <c r="X126">
        <v>0.81709880899999998</v>
      </c>
      <c r="Y126">
        <v>40000</v>
      </c>
      <c r="AA126" s="2" t="s">
        <v>154</v>
      </c>
      <c r="AB126">
        <v>0.81709880899999998</v>
      </c>
      <c r="AD126" s="2" t="s">
        <v>96</v>
      </c>
      <c r="AL126">
        <v>0.87007879355004947</v>
      </c>
      <c r="BB126">
        <v>44100</v>
      </c>
      <c r="BR126">
        <v>0.32509188100000003</v>
      </c>
      <c r="CH126">
        <v>0.77866247082800932</v>
      </c>
      <c r="CX126">
        <v>17000</v>
      </c>
      <c r="DN126">
        <v>67000</v>
      </c>
      <c r="ED126">
        <v>5.8384093999999997E-2</v>
      </c>
      <c r="EM126">
        <v>0.87007879355004947</v>
      </c>
      <c r="EN126">
        <v>44100</v>
      </c>
      <c r="EO126">
        <v>0.32509188100000003</v>
      </c>
      <c r="EP126">
        <v>0.77866247082800932</v>
      </c>
      <c r="EQ126">
        <v>17000</v>
      </c>
      <c r="ER126">
        <v>67000</v>
      </c>
      <c r="ES126">
        <v>5.8384093999999997E-2</v>
      </c>
    </row>
    <row r="127" spans="1:149" x14ac:dyDescent="0.3">
      <c r="A127" s="2" t="s">
        <v>42</v>
      </c>
      <c r="B127">
        <v>50000</v>
      </c>
      <c r="D127" s="2" t="s">
        <v>171</v>
      </c>
      <c r="E127">
        <v>58000</v>
      </c>
      <c r="G127" s="2" t="s">
        <v>171</v>
      </c>
      <c r="H127">
        <v>58000</v>
      </c>
      <c r="I127">
        <v>6.9373854999999998E-2</v>
      </c>
      <c r="J127">
        <f t="shared" ref="J127:K127" si="40">J63</f>
        <v>85000</v>
      </c>
      <c r="K127">
        <f t="shared" si="40"/>
        <v>59600</v>
      </c>
      <c r="M127" s="2" t="s">
        <v>67</v>
      </c>
      <c r="N127">
        <v>15000</v>
      </c>
      <c r="Q127" s="2" t="s">
        <v>208</v>
      </c>
      <c r="R127">
        <v>0.77213469046291128</v>
      </c>
      <c r="T127" s="2" t="s">
        <v>67</v>
      </c>
      <c r="U127">
        <v>0.36617687799999998</v>
      </c>
      <c r="W127" s="2" t="s">
        <v>59</v>
      </c>
      <c r="X127">
        <v>0.448732309</v>
      </c>
      <c r="Y127">
        <v>58000</v>
      </c>
      <c r="AA127" s="2" t="s">
        <v>59</v>
      </c>
      <c r="AB127">
        <v>0.448732309</v>
      </c>
      <c r="AD127" s="2" t="s">
        <v>81</v>
      </c>
      <c r="AL127">
        <v>0.86193299521394384</v>
      </c>
      <c r="BB127">
        <v>56000</v>
      </c>
      <c r="BR127">
        <v>0.437846874</v>
      </c>
      <c r="CH127">
        <v>0.72949778678383137</v>
      </c>
      <c r="CX127">
        <v>16000</v>
      </c>
      <c r="DN127">
        <v>88000</v>
      </c>
      <c r="ED127">
        <v>5.0508788999999998E-2</v>
      </c>
      <c r="EM127">
        <v>0.86193299521394384</v>
      </c>
      <c r="EN127">
        <v>56000</v>
      </c>
      <c r="EO127">
        <v>0.437846874</v>
      </c>
      <c r="EP127">
        <v>0.72949778678383137</v>
      </c>
      <c r="EQ127">
        <v>16000</v>
      </c>
      <c r="ER127">
        <v>88000</v>
      </c>
      <c r="ES127">
        <v>5.0508788999999998E-2</v>
      </c>
    </row>
    <row r="128" spans="1:149" x14ac:dyDescent="0.3">
      <c r="A128" s="2" t="s">
        <v>46</v>
      </c>
      <c r="B128">
        <v>50000</v>
      </c>
      <c r="D128" s="2" t="s">
        <v>144</v>
      </c>
      <c r="E128">
        <v>59000</v>
      </c>
      <c r="G128" s="2" t="s">
        <v>144</v>
      </c>
      <c r="H128">
        <v>59000</v>
      </c>
      <c r="I128">
        <v>5.4728623999999997E-2</v>
      </c>
      <c r="J128">
        <f t="shared" ref="J128:K128" si="41">J64</f>
        <v>86000</v>
      </c>
      <c r="K128">
        <f t="shared" si="41"/>
        <v>59500</v>
      </c>
      <c r="M128" s="2" t="s">
        <v>131</v>
      </c>
      <c r="N128">
        <v>15000</v>
      </c>
      <c r="Q128" s="2" t="s">
        <v>179</v>
      </c>
      <c r="R128">
        <v>0.77264224875155163</v>
      </c>
      <c r="T128" s="2" t="s">
        <v>206</v>
      </c>
      <c r="U128">
        <v>0.35546905899999998</v>
      </c>
      <c r="W128" s="2" t="s">
        <v>166</v>
      </c>
      <c r="X128">
        <v>0.34082495699999998</v>
      </c>
      <c r="Y128">
        <v>69000</v>
      </c>
      <c r="AA128" s="2" t="s">
        <v>166</v>
      </c>
      <c r="AB128">
        <v>0.34082495699999998</v>
      </c>
      <c r="AD128" s="2" t="s">
        <v>154</v>
      </c>
      <c r="AS128">
        <v>0.65855330819334934</v>
      </c>
      <c r="BI128">
        <v>37000</v>
      </c>
      <c r="BY128">
        <v>0.81709880899999998</v>
      </c>
      <c r="CO128">
        <v>0.62324620753507587</v>
      </c>
      <c r="DE128">
        <v>21000</v>
      </c>
      <c r="DU128">
        <v>40000</v>
      </c>
      <c r="EK128">
        <v>7.5631139999999999E-2</v>
      </c>
      <c r="EM128">
        <v>0.65855330819334934</v>
      </c>
      <c r="EN128">
        <v>37000</v>
      </c>
      <c r="EO128">
        <v>0.81709880899999998</v>
      </c>
      <c r="EP128">
        <v>0.62324620753507587</v>
      </c>
      <c r="EQ128">
        <v>21000</v>
      </c>
      <c r="ER128">
        <v>40000</v>
      </c>
      <c r="ES128">
        <v>7.5631139999999999E-2</v>
      </c>
    </row>
    <row r="129" spans="1:149" x14ac:dyDescent="0.3">
      <c r="A129" s="2" t="s">
        <v>212</v>
      </c>
      <c r="B129">
        <v>50000</v>
      </c>
      <c r="D129" s="2" t="s">
        <v>98</v>
      </c>
      <c r="E129">
        <v>60000</v>
      </c>
      <c r="G129" s="2" t="s">
        <v>98</v>
      </c>
      <c r="H129">
        <v>60000</v>
      </c>
      <c r="I129">
        <v>4.3533272999999997E-2</v>
      </c>
      <c r="J129">
        <f t="shared" ref="J129:K129" si="42">J65</f>
        <v>88000</v>
      </c>
      <c r="K129">
        <f t="shared" si="42"/>
        <v>65000</v>
      </c>
      <c r="M129" s="2" t="s">
        <v>51</v>
      </c>
      <c r="N129">
        <v>15000</v>
      </c>
      <c r="Q129" s="2" t="s">
        <v>173</v>
      </c>
      <c r="R129">
        <v>0.77490240523863496</v>
      </c>
      <c r="T129" s="2" t="s">
        <v>76</v>
      </c>
      <c r="U129">
        <v>0.350442478</v>
      </c>
      <c r="W129" s="2" t="s">
        <v>116</v>
      </c>
      <c r="X129">
        <v>0.65165990799999995</v>
      </c>
      <c r="Y129">
        <v>47500</v>
      </c>
      <c r="AA129" s="2" t="s">
        <v>116</v>
      </c>
      <c r="AB129">
        <v>0.65165990799999995</v>
      </c>
      <c r="AD129" s="2" t="s">
        <v>59</v>
      </c>
      <c r="AK129">
        <v>0.79280436877610028</v>
      </c>
      <c r="BA129">
        <v>34250</v>
      </c>
      <c r="BQ129">
        <v>0.448732309</v>
      </c>
      <c r="CG129">
        <v>0.77111716621253401</v>
      </c>
      <c r="CW129">
        <v>7000</v>
      </c>
      <c r="DM129">
        <v>58000</v>
      </c>
      <c r="EC129">
        <v>0</v>
      </c>
      <c r="EM129">
        <v>0.79280436877610028</v>
      </c>
      <c r="EN129">
        <v>34250</v>
      </c>
      <c r="EO129">
        <v>0.448732309</v>
      </c>
      <c r="EP129">
        <v>0.77111716621253401</v>
      </c>
      <c r="EQ129">
        <v>7000</v>
      </c>
      <c r="ER129">
        <v>58000</v>
      </c>
      <c r="ES129">
        <v>0</v>
      </c>
    </row>
    <row r="130" spans="1:149" x14ac:dyDescent="0.3">
      <c r="A130" s="2" t="s">
        <v>213</v>
      </c>
      <c r="B130">
        <v>50000</v>
      </c>
      <c r="D130" s="2" t="s">
        <v>143</v>
      </c>
      <c r="E130">
        <v>60000</v>
      </c>
      <c r="G130" s="2" t="s">
        <v>143</v>
      </c>
      <c r="H130">
        <v>60000</v>
      </c>
      <c r="I130">
        <v>3.6726307999999999E-2</v>
      </c>
      <c r="J130">
        <f t="shared" ref="J130:K130" si="43">J66</f>
        <v>89000</v>
      </c>
      <c r="K130">
        <f t="shared" si="43"/>
        <v>67666.666666666672</v>
      </c>
      <c r="M130" s="2" t="s">
        <v>99</v>
      </c>
      <c r="N130">
        <v>15000</v>
      </c>
      <c r="Q130" s="2" t="s">
        <v>28</v>
      </c>
      <c r="R130">
        <v>0.77517302311883374</v>
      </c>
      <c r="T130" s="2" t="s">
        <v>85</v>
      </c>
      <c r="U130">
        <v>0.34347321800000002</v>
      </c>
      <c r="W130" s="2" t="s">
        <v>64</v>
      </c>
      <c r="X130">
        <v>0.96799811899999999</v>
      </c>
      <c r="Y130">
        <v>35300</v>
      </c>
      <c r="AA130" s="2" t="s">
        <v>64</v>
      </c>
      <c r="AB130">
        <v>0.96799811899999999</v>
      </c>
      <c r="AD130" s="2" t="s">
        <v>166</v>
      </c>
      <c r="AT130">
        <v>0.80415205268131618</v>
      </c>
      <c r="BJ130">
        <v>68000</v>
      </c>
      <c r="BZ130">
        <v>0.34082495699999998</v>
      </c>
      <c r="CP130">
        <v>0.70675117737745774</v>
      </c>
      <c r="DF130">
        <v>30000</v>
      </c>
      <c r="DV130">
        <v>69000</v>
      </c>
      <c r="EL130">
        <v>6.1312717000000003E-2</v>
      </c>
      <c r="EM130">
        <v>0.80415205268131618</v>
      </c>
      <c r="EN130">
        <v>68000</v>
      </c>
      <c r="EO130">
        <v>0.34082495699999998</v>
      </c>
      <c r="EP130">
        <v>0.70675117737745774</v>
      </c>
      <c r="EQ130">
        <v>30000</v>
      </c>
      <c r="ER130">
        <v>69000</v>
      </c>
      <c r="ES130">
        <v>6.1312717000000003E-2</v>
      </c>
    </row>
    <row r="131" spans="1:149" x14ac:dyDescent="0.3">
      <c r="A131" s="2" t="s">
        <v>189</v>
      </c>
      <c r="B131">
        <v>50000</v>
      </c>
      <c r="D131" s="2" t="s">
        <v>50</v>
      </c>
      <c r="E131">
        <v>60000</v>
      </c>
      <c r="G131" s="2" t="s">
        <v>50</v>
      </c>
      <c r="H131">
        <v>60000</v>
      </c>
      <c r="I131">
        <v>9.0264216999999994E-2</v>
      </c>
      <c r="J131">
        <f t="shared" ref="J131:K131" si="44">J67</f>
        <v>90000</v>
      </c>
      <c r="K131">
        <f t="shared" si="44"/>
        <v>62833.333333333336</v>
      </c>
      <c r="M131" s="2" t="s">
        <v>208</v>
      </c>
      <c r="N131">
        <v>15000</v>
      </c>
      <c r="Q131" s="2" t="s">
        <v>50</v>
      </c>
      <c r="R131">
        <v>0.7786608452433742</v>
      </c>
      <c r="T131" s="2" t="s">
        <v>174</v>
      </c>
      <c r="U131">
        <v>0.34222881100000002</v>
      </c>
      <c r="W131" s="2" t="s">
        <v>179</v>
      </c>
      <c r="X131">
        <v>0.62950456399999999</v>
      </c>
      <c r="Y131">
        <v>42000</v>
      </c>
      <c r="AA131" s="2" t="s">
        <v>179</v>
      </c>
      <c r="AB131">
        <v>0.62950456399999999</v>
      </c>
      <c r="AD131" s="2" t="s">
        <v>116</v>
      </c>
      <c r="AG131">
        <v>0.69949329846355013</v>
      </c>
      <c r="AW131">
        <v>41000</v>
      </c>
      <c r="BM131">
        <v>0.65165990799999995</v>
      </c>
      <c r="CC131">
        <v>0.80911655792629167</v>
      </c>
      <c r="CS131">
        <v>13300</v>
      </c>
      <c r="DI131">
        <v>47500</v>
      </c>
      <c r="DY131">
        <v>4.8916986000000003E-2</v>
      </c>
      <c r="EM131">
        <v>0.69949329846355013</v>
      </c>
      <c r="EN131">
        <v>41000</v>
      </c>
      <c r="EO131">
        <v>0.65165990799999995</v>
      </c>
      <c r="EP131">
        <v>0.80911655792629167</v>
      </c>
      <c r="EQ131">
        <v>13300</v>
      </c>
      <c r="ER131">
        <v>47500</v>
      </c>
      <c r="ES131">
        <v>4.8916986000000003E-2</v>
      </c>
    </row>
    <row r="132" spans="1:149" x14ac:dyDescent="0.3">
      <c r="A132" s="2" t="s">
        <v>192</v>
      </c>
      <c r="B132">
        <v>50000</v>
      </c>
      <c r="D132" s="2" t="s">
        <v>191</v>
      </c>
      <c r="E132">
        <v>60000</v>
      </c>
      <c r="G132" s="2" t="s">
        <v>191</v>
      </c>
      <c r="H132">
        <v>60000</v>
      </c>
      <c r="I132">
        <v>3.6209865000000001E-2</v>
      </c>
      <c r="J132">
        <f t="shared" ref="J132:K132" si="45">J68</f>
        <v>92000</v>
      </c>
      <c r="K132">
        <f t="shared" si="45"/>
        <v>71000</v>
      </c>
      <c r="M132" s="2" t="s">
        <v>207</v>
      </c>
      <c r="N132">
        <v>15000</v>
      </c>
      <c r="Q132" s="2" t="s">
        <v>96</v>
      </c>
      <c r="R132">
        <v>0.77866247082800932</v>
      </c>
      <c r="T132" s="2" t="s">
        <v>78</v>
      </c>
      <c r="U132">
        <v>0.341630502</v>
      </c>
      <c r="W132" s="2" t="s">
        <v>168</v>
      </c>
      <c r="X132">
        <v>0.61822302799999995</v>
      </c>
      <c r="Y132">
        <v>49000</v>
      </c>
      <c r="AA132" s="2" t="s">
        <v>168</v>
      </c>
      <c r="AB132">
        <v>0.61822302799999995</v>
      </c>
      <c r="AD132" s="2" t="s">
        <v>64</v>
      </c>
      <c r="AK132">
        <v>0.62694341618191429</v>
      </c>
      <c r="BA132">
        <v>18800</v>
      </c>
      <c r="BQ132">
        <v>0.96799811899999999</v>
      </c>
      <c r="CG132">
        <v>0.72231170302841241</v>
      </c>
      <c r="CW132">
        <v>13000</v>
      </c>
      <c r="DM132">
        <v>35300</v>
      </c>
      <c r="EC132">
        <v>4.9350649000000003E-2</v>
      </c>
      <c r="EM132">
        <v>0.62694341618191429</v>
      </c>
      <c r="EN132">
        <v>18800</v>
      </c>
      <c r="EO132">
        <v>0.96799811899999999</v>
      </c>
      <c r="EP132">
        <v>0.72231170302841241</v>
      </c>
      <c r="EQ132">
        <v>13000</v>
      </c>
      <c r="ER132">
        <v>35300</v>
      </c>
      <c r="ES132">
        <v>4.9350649000000003E-2</v>
      </c>
    </row>
    <row r="133" spans="1:149" x14ac:dyDescent="0.3">
      <c r="A133" s="2" t="s">
        <v>131</v>
      </c>
      <c r="B133">
        <v>49500</v>
      </c>
      <c r="D133" s="2" t="s">
        <v>198</v>
      </c>
      <c r="E133">
        <v>60000</v>
      </c>
      <c r="G133" s="2" t="s">
        <v>198</v>
      </c>
      <c r="H133">
        <v>60000</v>
      </c>
      <c r="I133">
        <v>5.1377531999999997E-2</v>
      </c>
      <c r="J133">
        <f t="shared" ref="J133:K133" si="46">J69</f>
        <v>94000</v>
      </c>
      <c r="K133">
        <f t="shared" si="46"/>
        <v>68000</v>
      </c>
      <c r="M133" s="2" t="s">
        <v>172</v>
      </c>
      <c r="N133">
        <v>15000</v>
      </c>
      <c r="Q133" s="2" t="s">
        <v>104</v>
      </c>
      <c r="R133">
        <v>0.77920685959271163</v>
      </c>
      <c r="T133" s="2" t="s">
        <v>166</v>
      </c>
      <c r="U133">
        <v>0.34082495699999998</v>
      </c>
      <c r="W133" s="2" t="s">
        <v>160</v>
      </c>
      <c r="X133">
        <v>0.12503465499999999</v>
      </c>
      <c r="Y133">
        <v>50000</v>
      </c>
      <c r="AA133" s="2" t="s">
        <v>160</v>
      </c>
      <c r="AB133">
        <v>0.12503465499999999</v>
      </c>
      <c r="AD133" s="2" t="s">
        <v>179</v>
      </c>
      <c r="AF133">
        <v>0.60352703393030327</v>
      </c>
      <c r="AV133">
        <v>33000</v>
      </c>
      <c r="BL133">
        <v>0.62950456399999999</v>
      </c>
      <c r="CB133">
        <v>0.77264224875155163</v>
      </c>
      <c r="CR133">
        <v>13600</v>
      </c>
      <c r="DH133">
        <v>42000</v>
      </c>
      <c r="DX133">
        <v>8.0273730000000001E-2</v>
      </c>
      <c r="EM133">
        <v>0.60352703393030327</v>
      </c>
      <c r="EN133">
        <v>33000</v>
      </c>
      <c r="EO133">
        <v>0.62950456399999999</v>
      </c>
      <c r="EP133">
        <v>0.77264224875155163</v>
      </c>
      <c r="EQ133">
        <v>13600</v>
      </c>
      <c r="ER133">
        <v>42000</v>
      </c>
      <c r="ES133">
        <v>8.0273730000000001E-2</v>
      </c>
    </row>
    <row r="134" spans="1:149" x14ac:dyDescent="0.3">
      <c r="A134" s="2" t="s">
        <v>209</v>
      </c>
      <c r="B134">
        <v>49000</v>
      </c>
      <c r="D134" s="2" t="s">
        <v>162</v>
      </c>
      <c r="E134">
        <v>60000</v>
      </c>
      <c r="G134" s="2" t="s">
        <v>162</v>
      </c>
      <c r="H134">
        <v>60000</v>
      </c>
      <c r="I134">
        <v>7.9216916999999998E-2</v>
      </c>
      <c r="J134">
        <f t="shared" ref="J134:K134" si="47">J70</f>
        <v>95000</v>
      </c>
      <c r="K134">
        <f t="shared" si="47"/>
        <v>67800</v>
      </c>
      <c r="M134" s="2" t="s">
        <v>137</v>
      </c>
      <c r="N134">
        <v>15000</v>
      </c>
      <c r="Q134" s="2" t="s">
        <v>176</v>
      </c>
      <c r="R134">
        <v>0.78028095610356996</v>
      </c>
      <c r="T134" s="2" t="s">
        <v>107</v>
      </c>
      <c r="U134">
        <v>0.33967098200000001</v>
      </c>
      <c r="W134" s="2" t="s">
        <v>104</v>
      </c>
      <c r="X134">
        <v>0.236062718</v>
      </c>
      <c r="Y134">
        <v>50000</v>
      </c>
      <c r="AA134" s="2" t="s">
        <v>104</v>
      </c>
      <c r="AB134">
        <v>0.236062718</v>
      </c>
      <c r="AD134" s="2" t="s">
        <v>168</v>
      </c>
      <c r="AT134">
        <v>0.81907817381664261</v>
      </c>
      <c r="BJ134">
        <v>37000</v>
      </c>
      <c r="BZ134">
        <v>0.61822302799999995</v>
      </c>
      <c r="CP134">
        <v>0.79288806019844171</v>
      </c>
      <c r="DF134">
        <v>15000</v>
      </c>
      <c r="DV134">
        <v>49000</v>
      </c>
      <c r="EL134">
        <v>6.4519170000000001E-2</v>
      </c>
      <c r="EM134">
        <v>0.81907817381664261</v>
      </c>
      <c r="EN134">
        <v>37000</v>
      </c>
      <c r="EO134">
        <v>0.61822302799999995</v>
      </c>
      <c r="EP134">
        <v>0.79288806019844171</v>
      </c>
      <c r="EQ134">
        <v>15000</v>
      </c>
      <c r="ER134">
        <v>49000</v>
      </c>
      <c r="ES134">
        <v>6.4519170000000001E-2</v>
      </c>
    </row>
    <row r="135" spans="1:149" x14ac:dyDescent="0.3">
      <c r="A135" s="2" t="s">
        <v>168</v>
      </c>
      <c r="B135">
        <v>49000</v>
      </c>
      <c r="D135" s="2" t="s">
        <v>119</v>
      </c>
      <c r="E135">
        <v>60000</v>
      </c>
      <c r="G135" s="2" t="s">
        <v>119</v>
      </c>
      <c r="H135">
        <v>60000</v>
      </c>
      <c r="I135">
        <v>1.6110797E-2</v>
      </c>
      <c r="J135">
        <f t="shared" ref="J135:K135" si="48">J71</f>
        <v>96000</v>
      </c>
      <c r="K135">
        <f t="shared" si="48"/>
        <v>70000</v>
      </c>
      <c r="M135" s="2" t="s">
        <v>62</v>
      </c>
      <c r="N135">
        <v>15000</v>
      </c>
      <c r="Q135" s="2" t="s">
        <v>29</v>
      </c>
      <c r="R135">
        <v>0.78394769625974181</v>
      </c>
      <c r="T135" s="2" t="s">
        <v>96</v>
      </c>
      <c r="U135">
        <v>0.32509188100000003</v>
      </c>
      <c r="W135" s="2" t="s">
        <v>156</v>
      </c>
      <c r="X135">
        <v>0.79874621700000004</v>
      </c>
      <c r="Y135">
        <v>39000</v>
      </c>
      <c r="AA135" s="2" t="s">
        <v>156</v>
      </c>
      <c r="AB135">
        <v>0.79874621700000004</v>
      </c>
      <c r="AD135" s="2" t="s">
        <v>160</v>
      </c>
      <c r="AQ135">
        <v>0.84386234061388821</v>
      </c>
      <c r="BG135">
        <v>39000</v>
      </c>
      <c r="BW135">
        <v>0.12503465499999999</v>
      </c>
      <c r="CM135">
        <v>0.81011198706713805</v>
      </c>
      <c r="DC135">
        <v>16000</v>
      </c>
      <c r="DS135">
        <v>50000</v>
      </c>
      <c r="EI135">
        <v>5.4035589000000002E-2</v>
      </c>
      <c r="EM135">
        <v>0.84386234061388821</v>
      </c>
      <c r="EN135">
        <v>39000</v>
      </c>
      <c r="EO135">
        <v>0.12503465499999999</v>
      </c>
      <c r="EP135">
        <v>0.81011198706713805</v>
      </c>
      <c r="EQ135">
        <v>16000</v>
      </c>
      <c r="ER135">
        <v>50000</v>
      </c>
      <c r="ES135">
        <v>5.4035589000000002E-2</v>
      </c>
    </row>
    <row r="136" spans="1:149" x14ac:dyDescent="0.3">
      <c r="A136" s="2" t="s">
        <v>63</v>
      </c>
      <c r="B136">
        <v>48400</v>
      </c>
      <c r="D136" s="2" t="s">
        <v>118</v>
      </c>
      <c r="E136">
        <v>60000</v>
      </c>
      <c r="G136" s="2" t="s">
        <v>118</v>
      </c>
      <c r="H136">
        <v>60000</v>
      </c>
      <c r="I136">
        <v>5.0880749000000003E-2</v>
      </c>
      <c r="J136">
        <f t="shared" ref="J136:K136" si="49">J72</f>
        <v>97000</v>
      </c>
      <c r="K136">
        <f t="shared" si="49"/>
        <v>81000</v>
      </c>
      <c r="M136" s="2" t="s">
        <v>197</v>
      </c>
      <c r="N136">
        <v>15000</v>
      </c>
      <c r="Q136" s="2" t="s">
        <v>151</v>
      </c>
      <c r="R136">
        <v>0.78579648199901364</v>
      </c>
      <c r="T136" s="2" t="s">
        <v>84</v>
      </c>
      <c r="U136">
        <v>0.32483804999999999</v>
      </c>
      <c r="W136" s="2" t="s">
        <v>55</v>
      </c>
      <c r="X136">
        <v>0.38371900599999997</v>
      </c>
      <c r="Y136">
        <v>40000</v>
      </c>
      <c r="AA136" s="2" t="s">
        <v>55</v>
      </c>
      <c r="AB136">
        <v>0.38371900599999997</v>
      </c>
      <c r="AD136" s="2" t="s">
        <v>104</v>
      </c>
      <c r="AQ136">
        <v>0.84497936726272349</v>
      </c>
      <c r="BG136">
        <v>41000</v>
      </c>
      <c r="BW136">
        <v>0.236062718</v>
      </c>
      <c r="CM136">
        <v>0.77920685959271163</v>
      </c>
      <c r="DC136">
        <v>25000</v>
      </c>
      <c r="DS136">
        <v>50000</v>
      </c>
      <c r="EI136">
        <v>6.6512583E-2</v>
      </c>
      <c r="EM136">
        <v>0.84497936726272349</v>
      </c>
      <c r="EN136">
        <v>41000</v>
      </c>
      <c r="EO136">
        <v>0.236062718</v>
      </c>
      <c r="EP136">
        <v>0.77920685959271163</v>
      </c>
      <c r="EQ136">
        <v>25000</v>
      </c>
      <c r="ER136">
        <v>50000</v>
      </c>
      <c r="ES136">
        <v>6.6512583E-2</v>
      </c>
    </row>
    <row r="137" spans="1:149" x14ac:dyDescent="0.3">
      <c r="A137" s="2" t="s">
        <v>175</v>
      </c>
      <c r="B137">
        <v>48000</v>
      </c>
      <c r="D137" s="2" t="s">
        <v>140</v>
      </c>
      <c r="E137">
        <v>60000</v>
      </c>
      <c r="G137" s="2" t="s">
        <v>140</v>
      </c>
      <c r="H137">
        <v>60000</v>
      </c>
      <c r="I137">
        <v>3.8952537000000002E-2</v>
      </c>
      <c r="J137">
        <f t="shared" ref="J137:K137" si="50">J73</f>
        <v>98000</v>
      </c>
      <c r="K137">
        <f t="shared" si="50"/>
        <v>82666.666666666672</v>
      </c>
      <c r="M137" s="2" t="s">
        <v>49</v>
      </c>
      <c r="N137">
        <v>15000</v>
      </c>
      <c r="Q137" s="2" t="s">
        <v>189</v>
      </c>
      <c r="R137">
        <v>0.78665560777808496</v>
      </c>
      <c r="T137" s="2" t="s">
        <v>203</v>
      </c>
      <c r="U137">
        <v>0.322222222</v>
      </c>
      <c r="W137" s="2" t="s">
        <v>174</v>
      </c>
      <c r="X137">
        <v>0.34222881100000002</v>
      </c>
      <c r="Y137">
        <v>65000</v>
      </c>
      <c r="AA137" s="2" t="s">
        <v>174</v>
      </c>
      <c r="AB137">
        <v>0.34222881100000002</v>
      </c>
      <c r="AD137" s="2" t="s">
        <v>156</v>
      </c>
      <c r="AS137">
        <v>0.67997857853262944</v>
      </c>
      <c r="BI137">
        <v>25000</v>
      </c>
      <c r="BY137">
        <v>0.79874621700000004</v>
      </c>
      <c r="CO137">
        <v>0.74128055350762778</v>
      </c>
      <c r="DE137">
        <v>10000</v>
      </c>
      <c r="DU137">
        <v>39000</v>
      </c>
      <c r="EK137">
        <v>6.8021390000000001E-2</v>
      </c>
      <c r="EM137">
        <v>0.67997857853262944</v>
      </c>
      <c r="EN137">
        <v>25000</v>
      </c>
      <c r="EO137">
        <v>0.79874621700000004</v>
      </c>
      <c r="EP137">
        <v>0.74128055350762778</v>
      </c>
      <c r="EQ137">
        <v>10000</v>
      </c>
      <c r="ER137">
        <v>39000</v>
      </c>
      <c r="ES137">
        <v>6.8021390000000001E-2</v>
      </c>
    </row>
    <row r="138" spans="1:149" x14ac:dyDescent="0.3">
      <c r="A138" s="2" t="s">
        <v>45</v>
      </c>
      <c r="B138">
        <v>48000</v>
      </c>
      <c r="D138" s="2" t="s">
        <v>195</v>
      </c>
      <c r="E138">
        <v>61000</v>
      </c>
      <c r="G138" s="2" t="s">
        <v>195</v>
      </c>
      <c r="H138">
        <v>61000</v>
      </c>
      <c r="I138">
        <v>2.6291603E-2</v>
      </c>
      <c r="J138">
        <f t="shared" ref="J138:K138" si="51">J74</f>
        <v>100000</v>
      </c>
      <c r="K138">
        <f t="shared" si="51"/>
        <v>77777.777777777781</v>
      </c>
      <c r="M138" s="2" t="s">
        <v>209</v>
      </c>
      <c r="N138">
        <v>15000</v>
      </c>
      <c r="Q138" s="2" t="s">
        <v>55</v>
      </c>
      <c r="R138">
        <v>0.78884819846426457</v>
      </c>
      <c r="T138" s="2" t="s">
        <v>38</v>
      </c>
      <c r="U138">
        <v>0.32176966299999998</v>
      </c>
      <c r="W138" s="2" t="s">
        <v>51</v>
      </c>
      <c r="X138">
        <v>0.57876633799999999</v>
      </c>
      <c r="Y138">
        <v>78000</v>
      </c>
      <c r="AA138" s="2" t="s">
        <v>51</v>
      </c>
      <c r="AB138">
        <v>0.57876633799999999</v>
      </c>
      <c r="AD138" s="2" t="s">
        <v>55</v>
      </c>
      <c r="AO138">
        <v>0.77213370073080145</v>
      </c>
      <c r="BE138">
        <v>33800</v>
      </c>
      <c r="BU138">
        <v>0.38371900599999997</v>
      </c>
      <c r="CK138">
        <v>0.78884819846426457</v>
      </c>
      <c r="DA138">
        <v>5400</v>
      </c>
      <c r="DQ138">
        <v>40000</v>
      </c>
      <c r="EG138">
        <v>5.4940700000000002E-2</v>
      </c>
      <c r="EM138">
        <v>0.77213370073080145</v>
      </c>
      <c r="EN138">
        <v>33800</v>
      </c>
      <c r="EO138">
        <v>0.38371900599999997</v>
      </c>
      <c r="EP138">
        <v>0.78884819846426457</v>
      </c>
      <c r="EQ138">
        <v>5400</v>
      </c>
      <c r="ER138">
        <v>40000</v>
      </c>
      <c r="ES138">
        <v>5.4940700000000002E-2</v>
      </c>
    </row>
    <row r="139" spans="1:149" x14ac:dyDescent="0.3">
      <c r="A139" s="2" t="s">
        <v>100</v>
      </c>
      <c r="B139">
        <v>48000</v>
      </c>
      <c r="D139" s="2" t="s">
        <v>157</v>
      </c>
      <c r="E139">
        <v>62000</v>
      </c>
      <c r="G139" s="2" t="s">
        <v>157</v>
      </c>
      <c r="H139">
        <v>62000</v>
      </c>
      <c r="I139">
        <v>8.362907E-2</v>
      </c>
      <c r="J139">
        <f t="shared" ref="J139:K139" si="52">J75</f>
        <v>102000</v>
      </c>
      <c r="K139">
        <f t="shared" si="52"/>
        <v>95000</v>
      </c>
      <c r="M139" s="2" t="s">
        <v>149</v>
      </c>
      <c r="N139">
        <v>15000</v>
      </c>
      <c r="Q139" s="2" t="s">
        <v>46</v>
      </c>
      <c r="R139">
        <v>0.78913337865106592</v>
      </c>
      <c r="T139" s="2" t="s">
        <v>176</v>
      </c>
      <c r="U139">
        <v>0.32129606700000002</v>
      </c>
      <c r="W139" s="2" t="s">
        <v>50</v>
      </c>
      <c r="X139">
        <v>0.26919385800000001</v>
      </c>
      <c r="Y139">
        <v>60000</v>
      </c>
      <c r="AA139" s="2" t="s">
        <v>50</v>
      </c>
      <c r="AB139">
        <v>0.26919385800000001</v>
      </c>
      <c r="AD139" s="2" t="s">
        <v>174</v>
      </c>
      <c r="AO139">
        <v>0.83379925368414398</v>
      </c>
      <c r="BE139">
        <v>50000</v>
      </c>
      <c r="BU139">
        <v>0.34222881100000002</v>
      </c>
      <c r="CK139">
        <v>0.85607389599982675</v>
      </c>
      <c r="DA139">
        <v>10000</v>
      </c>
      <c r="DQ139">
        <v>65000</v>
      </c>
      <c r="EG139">
        <v>5.1097081000000003E-2</v>
      </c>
      <c r="EM139">
        <v>0.83379925368414398</v>
      </c>
      <c r="EN139">
        <v>50000</v>
      </c>
      <c r="EO139">
        <v>0.34222881100000002</v>
      </c>
      <c r="EP139">
        <v>0.85607389599982675</v>
      </c>
      <c r="EQ139">
        <v>10000</v>
      </c>
      <c r="ER139">
        <v>65000</v>
      </c>
      <c r="ES139">
        <v>5.1097081000000003E-2</v>
      </c>
    </row>
    <row r="140" spans="1:149" x14ac:dyDescent="0.3">
      <c r="A140" s="2" t="s">
        <v>106</v>
      </c>
      <c r="B140">
        <v>48000</v>
      </c>
      <c r="D140" s="2" t="s">
        <v>151</v>
      </c>
      <c r="E140">
        <v>62000</v>
      </c>
      <c r="G140" s="2" t="s">
        <v>151</v>
      </c>
      <c r="H140">
        <v>62000</v>
      </c>
      <c r="I140">
        <v>6.9857949000000003E-2</v>
      </c>
      <c r="J140">
        <f t="shared" ref="J140:K140" si="53">J76</f>
        <v>105000</v>
      </c>
      <c r="K140">
        <f t="shared" si="53"/>
        <v>76500</v>
      </c>
      <c r="M140" s="2" t="s">
        <v>63</v>
      </c>
      <c r="N140">
        <v>15000</v>
      </c>
      <c r="Q140" s="2" t="s">
        <v>195</v>
      </c>
      <c r="R140">
        <v>0.78994042944736609</v>
      </c>
      <c r="T140" s="2" t="s">
        <v>75</v>
      </c>
      <c r="U140">
        <v>0.32078431400000001</v>
      </c>
      <c r="W140" s="2" t="s">
        <v>54</v>
      </c>
      <c r="X140">
        <v>0.30500459699999999</v>
      </c>
      <c r="Y140">
        <v>55000</v>
      </c>
      <c r="AA140" s="2" t="s">
        <v>54</v>
      </c>
      <c r="AB140">
        <v>0.30500459699999999</v>
      </c>
      <c r="AD140" s="2" t="s">
        <v>51</v>
      </c>
      <c r="AJ140">
        <v>0.85477747374964197</v>
      </c>
      <c r="AZ140">
        <v>54000</v>
      </c>
      <c r="BP140">
        <v>0.57876633799999999</v>
      </c>
      <c r="CF140">
        <v>0.83796591820164124</v>
      </c>
      <c r="CV140">
        <v>15000</v>
      </c>
      <c r="DL140">
        <v>78000</v>
      </c>
      <c r="EB140">
        <v>4.9518657000000001E-2</v>
      </c>
      <c r="EM140">
        <v>0.85477747374964197</v>
      </c>
      <c r="EN140">
        <v>54000</v>
      </c>
      <c r="EO140">
        <v>0.57876633799999999</v>
      </c>
      <c r="EP140">
        <v>0.83796591820164124</v>
      </c>
      <c r="EQ140">
        <v>15000</v>
      </c>
      <c r="ER140">
        <v>78000</v>
      </c>
      <c r="ES140">
        <v>4.9518657000000001E-2</v>
      </c>
    </row>
    <row r="141" spans="1:149" x14ac:dyDescent="0.3">
      <c r="A141" s="2" t="s">
        <v>117</v>
      </c>
      <c r="B141">
        <v>48000</v>
      </c>
      <c r="D141" s="2" t="s">
        <v>193</v>
      </c>
      <c r="E141">
        <v>62000</v>
      </c>
      <c r="G141" s="2" t="s">
        <v>193</v>
      </c>
      <c r="H141">
        <v>62000</v>
      </c>
      <c r="I141">
        <v>2.6796818E-2</v>
      </c>
      <c r="J141">
        <f t="shared" ref="J141:K141" si="54">J77</f>
        <v>106000</v>
      </c>
      <c r="K141">
        <f t="shared" si="54"/>
        <v>90000</v>
      </c>
      <c r="M141" s="2" t="s">
        <v>75</v>
      </c>
      <c r="N141">
        <v>15000</v>
      </c>
      <c r="Q141" s="2" t="s">
        <v>128</v>
      </c>
      <c r="R141">
        <v>0.78997322949622784</v>
      </c>
      <c r="T141" s="2" t="s">
        <v>149</v>
      </c>
      <c r="U141">
        <v>0.31082028499999997</v>
      </c>
      <c r="W141" s="2" t="s">
        <v>80</v>
      </c>
      <c r="X141">
        <v>0.199412643</v>
      </c>
      <c r="Y141">
        <v>80000</v>
      </c>
      <c r="AA141" s="2" t="s">
        <v>80</v>
      </c>
      <c r="AB141">
        <v>0.199412643</v>
      </c>
      <c r="AD141" s="2" t="s">
        <v>50</v>
      </c>
      <c r="AJ141">
        <v>0.82122831610303137</v>
      </c>
      <c r="AZ141">
        <v>45000</v>
      </c>
      <c r="BP141">
        <v>0.26919385800000001</v>
      </c>
      <c r="CF141">
        <v>0.7786608452433742</v>
      </c>
      <c r="CV141">
        <v>25000</v>
      </c>
      <c r="DL141">
        <v>60000</v>
      </c>
      <c r="EB141">
        <v>9.0264216999999994E-2</v>
      </c>
      <c r="EM141">
        <v>0.82122831610303137</v>
      </c>
      <c r="EN141">
        <v>45000</v>
      </c>
      <c r="EO141">
        <v>0.26919385800000001</v>
      </c>
      <c r="EP141">
        <v>0.7786608452433742</v>
      </c>
      <c r="EQ141">
        <v>25000</v>
      </c>
      <c r="ER141">
        <v>60000</v>
      </c>
      <c r="ES141">
        <v>9.0264216999999994E-2</v>
      </c>
    </row>
    <row r="142" spans="1:149" x14ac:dyDescent="0.3">
      <c r="A142" s="2" t="s">
        <v>101</v>
      </c>
      <c r="B142">
        <v>48000</v>
      </c>
      <c r="D142" s="2" t="s">
        <v>30</v>
      </c>
      <c r="E142">
        <v>62000</v>
      </c>
      <c r="G142" s="2" t="s">
        <v>30</v>
      </c>
      <c r="H142">
        <v>62000</v>
      </c>
      <c r="I142">
        <v>4.9188445999999997E-2</v>
      </c>
      <c r="J142">
        <f t="shared" ref="J142:K142" si="55">J78</f>
        <v>107000</v>
      </c>
      <c r="K142">
        <f t="shared" si="55"/>
        <v>80000</v>
      </c>
      <c r="M142" s="2" t="s">
        <v>70</v>
      </c>
      <c r="N142">
        <v>14800</v>
      </c>
      <c r="Q142" s="2" t="s">
        <v>125</v>
      </c>
      <c r="R142">
        <v>0.79196316450397652</v>
      </c>
      <c r="T142" s="2" t="s">
        <v>42</v>
      </c>
      <c r="U142">
        <v>0.30510948900000001</v>
      </c>
      <c r="W142" s="2" t="s">
        <v>49</v>
      </c>
      <c r="X142">
        <v>0.70771850199999997</v>
      </c>
      <c r="Y142">
        <v>65000</v>
      </c>
      <c r="AA142" s="2" t="s">
        <v>49</v>
      </c>
      <c r="AB142">
        <v>0.70771850199999997</v>
      </c>
      <c r="AD142" s="2" t="s">
        <v>54</v>
      </c>
      <c r="AJ142">
        <v>0.81581992693608041</v>
      </c>
      <c r="AZ142">
        <v>44000</v>
      </c>
      <c r="BP142">
        <v>0.30500459699999999</v>
      </c>
      <c r="CF142">
        <v>0.85126808444882274</v>
      </c>
      <c r="CV142">
        <v>22000</v>
      </c>
      <c r="DL142">
        <v>55000</v>
      </c>
      <c r="EB142">
        <v>5.8694120000000002E-2</v>
      </c>
      <c r="EM142">
        <v>0.81581992693608041</v>
      </c>
      <c r="EN142">
        <v>44000</v>
      </c>
      <c r="EO142">
        <v>0.30500459699999999</v>
      </c>
      <c r="EP142">
        <v>0.85126808444882274</v>
      </c>
      <c r="EQ142">
        <v>22000</v>
      </c>
      <c r="ER142">
        <v>55000</v>
      </c>
      <c r="ES142">
        <v>5.8694120000000002E-2</v>
      </c>
    </row>
    <row r="143" spans="1:149" x14ac:dyDescent="0.3">
      <c r="A143" s="2" t="s">
        <v>116</v>
      </c>
      <c r="B143">
        <v>47500</v>
      </c>
      <c r="D143" s="2" t="s">
        <v>75</v>
      </c>
      <c r="E143">
        <v>62000</v>
      </c>
      <c r="G143" s="2" t="s">
        <v>75</v>
      </c>
      <c r="H143">
        <v>62000</v>
      </c>
      <c r="I143">
        <v>5.8974061000000001E-2</v>
      </c>
      <c r="J143">
        <f t="shared" ref="J143:K143" si="56">J79</f>
        <v>110000</v>
      </c>
      <c r="K143">
        <f t="shared" si="56"/>
        <v>77000</v>
      </c>
      <c r="M143" s="2" t="s">
        <v>97</v>
      </c>
      <c r="N143">
        <v>14500</v>
      </c>
      <c r="Q143" s="2" t="s">
        <v>37</v>
      </c>
      <c r="R143">
        <v>0.79262634033754864</v>
      </c>
      <c r="T143" s="2" t="s">
        <v>54</v>
      </c>
      <c r="U143">
        <v>0.30500459699999999</v>
      </c>
      <c r="W143" s="2" t="s">
        <v>53</v>
      </c>
      <c r="X143">
        <v>0.180882718</v>
      </c>
      <c r="Y143">
        <v>55000</v>
      </c>
      <c r="AA143" s="2" t="s">
        <v>53</v>
      </c>
      <c r="AB143">
        <v>0.180882718</v>
      </c>
      <c r="AD143" s="2" t="s">
        <v>80</v>
      </c>
      <c r="AL143">
        <v>0.86238368209286786</v>
      </c>
      <c r="BB143">
        <v>47000</v>
      </c>
      <c r="BR143">
        <v>0.199412643</v>
      </c>
      <c r="CH143">
        <v>0.83511935651271407</v>
      </c>
      <c r="CX143">
        <v>16000</v>
      </c>
      <c r="DN143">
        <v>80000</v>
      </c>
      <c r="ED143">
        <v>5.4743829000000001E-2</v>
      </c>
      <c r="EM143">
        <v>0.86238368209286786</v>
      </c>
      <c r="EN143">
        <v>47000</v>
      </c>
      <c r="EO143">
        <v>0.199412643</v>
      </c>
      <c r="EP143">
        <v>0.83511935651271407</v>
      </c>
      <c r="EQ143">
        <v>16000</v>
      </c>
      <c r="ER143">
        <v>80000</v>
      </c>
      <c r="ES143">
        <v>5.4743829000000001E-2</v>
      </c>
    </row>
    <row r="144" spans="1:149" x14ac:dyDescent="0.3">
      <c r="A144" s="2" t="s">
        <v>158</v>
      </c>
      <c r="B144">
        <v>47000</v>
      </c>
      <c r="D144" s="2" t="s">
        <v>28</v>
      </c>
      <c r="E144">
        <v>63000</v>
      </c>
      <c r="G144" s="2" t="s">
        <v>28</v>
      </c>
      <c r="H144">
        <v>63000</v>
      </c>
      <c r="I144">
        <v>3.0248324E-2</v>
      </c>
      <c r="J144">
        <f t="shared" ref="J144:K144" si="57">J80</f>
        <v>111000</v>
      </c>
      <c r="K144">
        <f t="shared" si="57"/>
        <v>107000</v>
      </c>
      <c r="M144" s="2" t="s">
        <v>60</v>
      </c>
      <c r="N144">
        <v>14000</v>
      </c>
      <c r="Q144" s="2" t="s">
        <v>168</v>
      </c>
      <c r="R144">
        <v>0.79288806019844171</v>
      </c>
      <c r="T144" s="2" t="s">
        <v>86</v>
      </c>
      <c r="U144">
        <v>0.292607004</v>
      </c>
      <c r="W144" s="2" t="s">
        <v>108</v>
      </c>
      <c r="X144">
        <v>0.666119448</v>
      </c>
      <c r="Y144">
        <v>40000</v>
      </c>
      <c r="AA144" s="2" t="s">
        <v>108</v>
      </c>
      <c r="AB144">
        <v>0.666119448</v>
      </c>
      <c r="AD144" s="2" t="s">
        <v>49</v>
      </c>
      <c r="AJ144">
        <v>0.87034016348374321</v>
      </c>
      <c r="AZ144">
        <v>45000</v>
      </c>
      <c r="BP144">
        <v>0.70771850199999997</v>
      </c>
      <c r="CF144">
        <v>0.85998218943817928</v>
      </c>
      <c r="CV144">
        <v>15000</v>
      </c>
      <c r="DL144">
        <v>65000</v>
      </c>
      <c r="EB144">
        <v>5.1891238999999999E-2</v>
      </c>
      <c r="EM144">
        <v>0.87034016348374321</v>
      </c>
      <c r="EN144">
        <v>45000</v>
      </c>
      <c r="EO144">
        <v>0.70771850199999997</v>
      </c>
      <c r="EP144">
        <v>0.85998218943817928</v>
      </c>
      <c r="EQ144">
        <v>15000</v>
      </c>
      <c r="ER144">
        <v>65000</v>
      </c>
      <c r="ES144">
        <v>5.1891238999999999E-2</v>
      </c>
    </row>
    <row r="145" spans="1:149" x14ac:dyDescent="0.3">
      <c r="A145" s="2" t="s">
        <v>172</v>
      </c>
      <c r="B145">
        <v>47000</v>
      </c>
      <c r="D145" s="2" t="s">
        <v>94</v>
      </c>
      <c r="E145">
        <v>63000</v>
      </c>
      <c r="G145" s="2" t="s">
        <v>94</v>
      </c>
      <c r="H145">
        <v>63000</v>
      </c>
      <c r="I145">
        <v>4.6711214000000001E-2</v>
      </c>
      <c r="J145">
        <f t="shared" ref="J145:K145" si="58">J81</f>
        <v>124000</v>
      </c>
      <c r="K145">
        <f t="shared" si="58"/>
        <v>126000</v>
      </c>
      <c r="M145" s="2" t="s">
        <v>65</v>
      </c>
      <c r="N145">
        <v>14000</v>
      </c>
      <c r="Q145" s="2" t="s">
        <v>31</v>
      </c>
      <c r="R145">
        <v>0.79390245438174512</v>
      </c>
      <c r="T145" s="2" t="s">
        <v>208</v>
      </c>
      <c r="U145">
        <v>0.28290282900000002</v>
      </c>
      <c r="W145" s="2" t="s">
        <v>196</v>
      </c>
      <c r="X145">
        <v>0.65212981699999995</v>
      </c>
      <c r="Y145">
        <v>47000</v>
      </c>
      <c r="AA145" s="2" t="s">
        <v>196</v>
      </c>
      <c r="AB145">
        <v>0.65212981699999995</v>
      </c>
      <c r="AD145" s="2" t="s">
        <v>53</v>
      </c>
      <c r="AJ145">
        <v>0.86992523017981838</v>
      </c>
      <c r="AZ145">
        <v>40000</v>
      </c>
      <c r="BP145">
        <v>0.180882718</v>
      </c>
      <c r="CF145">
        <v>0.8222651288044307</v>
      </c>
      <c r="CV145">
        <v>21000</v>
      </c>
      <c r="DL145">
        <v>55000</v>
      </c>
      <c r="EB145">
        <v>7.5045724999999994E-2</v>
      </c>
      <c r="EM145">
        <v>0.86992523017981838</v>
      </c>
      <c r="EN145">
        <v>40000</v>
      </c>
      <c r="EO145">
        <v>0.180882718</v>
      </c>
      <c r="EP145">
        <v>0.8222651288044307</v>
      </c>
      <c r="EQ145">
        <v>21000</v>
      </c>
      <c r="ER145">
        <v>55000</v>
      </c>
      <c r="ES145">
        <v>7.5045724999999994E-2</v>
      </c>
    </row>
    <row r="146" spans="1:149" x14ac:dyDescent="0.3">
      <c r="A146" s="2" t="s">
        <v>183</v>
      </c>
      <c r="B146">
        <v>47000</v>
      </c>
      <c r="D146" s="2" t="s">
        <v>99</v>
      </c>
      <c r="E146">
        <v>63000</v>
      </c>
      <c r="G146" s="2" t="s">
        <v>99</v>
      </c>
      <c r="H146">
        <v>63000</v>
      </c>
      <c r="I146">
        <v>6.0196820999999998E-2</v>
      </c>
      <c r="J146">
        <f t="shared" ref="J146:K146" si="59">J82</f>
        <v>135000</v>
      </c>
      <c r="K146">
        <f t="shared" si="59"/>
        <v>51000</v>
      </c>
      <c r="M146" s="2" t="s">
        <v>52</v>
      </c>
      <c r="N146">
        <v>14000</v>
      </c>
      <c r="Q146" s="2" t="s">
        <v>97</v>
      </c>
      <c r="R146">
        <v>0.79619439507194856</v>
      </c>
      <c r="T146" s="2" t="s">
        <v>126</v>
      </c>
      <c r="U146">
        <v>0.281936407</v>
      </c>
      <c r="W146" s="2" t="s">
        <v>42</v>
      </c>
      <c r="X146">
        <v>0.30510948900000001</v>
      </c>
      <c r="Y146">
        <v>50000</v>
      </c>
      <c r="AA146" s="2" t="s">
        <v>42</v>
      </c>
      <c r="AB146">
        <v>0.30510948900000001</v>
      </c>
      <c r="AD146" s="2" t="s">
        <v>108</v>
      </c>
      <c r="AN146">
        <v>0.65967537238661411</v>
      </c>
      <c r="BD146">
        <v>36200</v>
      </c>
      <c r="BT146">
        <v>0.666119448</v>
      </c>
      <c r="CJ146">
        <v>0.75852459846987885</v>
      </c>
      <c r="CZ146">
        <v>16000</v>
      </c>
      <c r="DP146">
        <v>40000</v>
      </c>
      <c r="EF146">
        <v>7.3614949999999998E-2</v>
      </c>
      <c r="EM146">
        <v>0.65967537238661411</v>
      </c>
      <c r="EN146">
        <v>36200</v>
      </c>
      <c r="EO146">
        <v>0.666119448</v>
      </c>
      <c r="EP146">
        <v>0.75852459846987885</v>
      </c>
      <c r="EQ146">
        <v>16000</v>
      </c>
      <c r="ER146">
        <v>40000</v>
      </c>
      <c r="ES146">
        <v>7.3614949999999998E-2</v>
      </c>
    </row>
    <row r="147" spans="1:149" x14ac:dyDescent="0.3">
      <c r="A147" s="2" t="s">
        <v>196</v>
      </c>
      <c r="B147">
        <v>47000</v>
      </c>
      <c r="D147" s="2" t="s">
        <v>38</v>
      </c>
      <c r="E147">
        <v>63000</v>
      </c>
      <c r="G147" s="2" t="s">
        <v>38</v>
      </c>
      <c r="H147">
        <v>63000</v>
      </c>
      <c r="I147">
        <v>8.5991128999999999E-2</v>
      </c>
      <c r="J147" t="str">
        <f t="shared" ref="J147:K147" si="60">J83</f>
        <v>Grand Total</v>
      </c>
      <c r="K147">
        <f t="shared" si="60"/>
        <v>58583.815028901736</v>
      </c>
      <c r="M147" s="2" t="s">
        <v>57</v>
      </c>
      <c r="N147">
        <v>14000</v>
      </c>
      <c r="Q147" s="2" t="s">
        <v>190</v>
      </c>
      <c r="R147">
        <v>0.79729771751974621</v>
      </c>
      <c r="T147" s="2" t="s">
        <v>210</v>
      </c>
      <c r="U147">
        <v>0.27879014600000002</v>
      </c>
      <c r="W147" s="2" t="s">
        <v>47</v>
      </c>
      <c r="X147">
        <v>0.86445607899999999</v>
      </c>
      <c r="Y147">
        <v>50000</v>
      </c>
      <c r="AA147" s="2" t="s">
        <v>47</v>
      </c>
      <c r="AB147">
        <v>0.86445607899999999</v>
      </c>
      <c r="AD147" s="2" t="s">
        <v>196</v>
      </c>
      <c r="AM147">
        <v>0.67959476294572552</v>
      </c>
      <c r="BC147">
        <v>37200</v>
      </c>
      <c r="BS147">
        <v>0.65212981699999995</v>
      </c>
      <c r="CI147">
        <v>0.7497752947604025</v>
      </c>
      <c r="CY147">
        <v>18500</v>
      </c>
      <c r="DO147">
        <v>47000</v>
      </c>
      <c r="EE147">
        <v>6.6527701999999994E-2</v>
      </c>
      <c r="EM147">
        <v>0.67959476294572552</v>
      </c>
      <c r="EN147">
        <v>37200</v>
      </c>
      <c r="EO147">
        <v>0.65212981699999995</v>
      </c>
      <c r="EP147">
        <v>0.7497752947604025</v>
      </c>
      <c r="EQ147">
        <v>18500</v>
      </c>
      <c r="ER147">
        <v>47000</v>
      </c>
      <c r="ES147">
        <v>6.6527701999999994E-2</v>
      </c>
    </row>
    <row r="148" spans="1:149" x14ac:dyDescent="0.3">
      <c r="A148" s="2" t="s">
        <v>110</v>
      </c>
      <c r="B148">
        <v>46700</v>
      </c>
      <c r="D148" s="2" t="s">
        <v>32</v>
      </c>
      <c r="E148">
        <v>63000</v>
      </c>
      <c r="G148" s="2" t="s">
        <v>32</v>
      </c>
      <c r="H148">
        <v>63000</v>
      </c>
      <c r="I148">
        <v>5.0867052000000003E-2</v>
      </c>
      <c r="M148" s="2" t="s">
        <v>86</v>
      </c>
      <c r="N148">
        <v>14000</v>
      </c>
      <c r="Q148" s="2" t="s">
        <v>47</v>
      </c>
      <c r="R148">
        <v>0.7983296052525708</v>
      </c>
      <c r="T148" s="2" t="s">
        <v>50</v>
      </c>
      <c r="U148">
        <v>0.26919385800000001</v>
      </c>
      <c r="W148" s="2" t="s">
        <v>188</v>
      </c>
      <c r="X148">
        <v>0.70713623699999995</v>
      </c>
      <c r="Y148">
        <v>42000</v>
      </c>
      <c r="AA148" s="2" t="s">
        <v>188</v>
      </c>
      <c r="AB148">
        <v>0.70713623699999995</v>
      </c>
      <c r="AD148" s="2" t="s">
        <v>42</v>
      </c>
      <c r="AI148">
        <v>0.75343621315903964</v>
      </c>
      <c r="AY148">
        <v>45000</v>
      </c>
      <c r="BO148">
        <v>0.30510948900000001</v>
      </c>
      <c r="CE148">
        <v>0.80056212766129786</v>
      </c>
      <c r="CU148">
        <v>13000</v>
      </c>
      <c r="DK148">
        <v>50000</v>
      </c>
      <c r="EA148">
        <v>6.4360314000000002E-2</v>
      </c>
      <c r="EM148">
        <v>0.75343621315903964</v>
      </c>
      <c r="EN148">
        <v>45000</v>
      </c>
      <c r="EO148">
        <v>0.30510948900000001</v>
      </c>
      <c r="EP148">
        <v>0.80056212766129786</v>
      </c>
      <c r="EQ148">
        <v>13000</v>
      </c>
      <c r="ER148">
        <v>50000</v>
      </c>
      <c r="ES148">
        <v>6.4360314000000002E-2</v>
      </c>
    </row>
    <row r="149" spans="1:149" x14ac:dyDescent="0.3">
      <c r="A149" s="2" t="s">
        <v>182</v>
      </c>
      <c r="B149">
        <v>46600</v>
      </c>
      <c r="D149" s="2" t="s">
        <v>127</v>
      </c>
      <c r="E149">
        <v>64000</v>
      </c>
      <c r="G149" s="2" t="s">
        <v>127</v>
      </c>
      <c r="H149">
        <v>64000</v>
      </c>
      <c r="I149">
        <v>0.10179640700000001</v>
      </c>
      <c r="M149" s="2" t="s">
        <v>180</v>
      </c>
      <c r="N149">
        <v>13600</v>
      </c>
      <c r="Q149" s="2" t="s">
        <v>205</v>
      </c>
      <c r="R149">
        <v>0.79858768517455214</v>
      </c>
      <c r="T149" s="2" t="s">
        <v>200</v>
      </c>
      <c r="U149">
        <v>0.25358330200000001</v>
      </c>
      <c r="W149" s="2" t="s">
        <v>182</v>
      </c>
      <c r="X149">
        <v>0.37435562300000003</v>
      </c>
      <c r="Y149">
        <v>46600</v>
      </c>
      <c r="AA149" s="2" t="s">
        <v>182</v>
      </c>
      <c r="AB149">
        <v>0.37435562300000003</v>
      </c>
      <c r="AD149" s="2" t="s">
        <v>47</v>
      </c>
      <c r="AJ149">
        <v>0.75109355157330326</v>
      </c>
      <c r="AZ149">
        <v>40500</v>
      </c>
      <c r="BP149">
        <v>0.86445607899999999</v>
      </c>
      <c r="CF149">
        <v>0.7983296052525708</v>
      </c>
      <c r="CV149">
        <v>5000</v>
      </c>
      <c r="DL149">
        <v>50000</v>
      </c>
      <c r="EB149">
        <v>8.5008668999999995E-2</v>
      </c>
      <c r="EM149">
        <v>0.75109355157330326</v>
      </c>
      <c r="EN149">
        <v>40500</v>
      </c>
      <c r="EO149">
        <v>0.86445607899999999</v>
      </c>
      <c r="EP149">
        <v>0.7983296052525708</v>
      </c>
      <c r="EQ149">
        <v>5000</v>
      </c>
      <c r="ER149">
        <v>50000</v>
      </c>
      <c r="ES149">
        <v>8.5008668999999995E-2</v>
      </c>
    </row>
    <row r="150" spans="1:149" x14ac:dyDescent="0.3">
      <c r="A150" s="2" t="s">
        <v>29</v>
      </c>
      <c r="B150">
        <v>46000</v>
      </c>
      <c r="D150" s="2" t="s">
        <v>49</v>
      </c>
      <c r="E150">
        <v>65000</v>
      </c>
      <c r="G150" s="2" t="s">
        <v>49</v>
      </c>
      <c r="H150">
        <v>65000</v>
      </c>
      <c r="I150">
        <v>5.1891238999999999E-2</v>
      </c>
      <c r="M150" s="2" t="s">
        <v>179</v>
      </c>
      <c r="N150">
        <v>13600</v>
      </c>
      <c r="Q150" s="2" t="s">
        <v>42</v>
      </c>
      <c r="R150">
        <v>0.80056212766129786</v>
      </c>
      <c r="T150" s="2" t="s">
        <v>73</v>
      </c>
      <c r="U150">
        <v>0.25295983799999999</v>
      </c>
      <c r="W150" s="2" t="s">
        <v>134</v>
      </c>
      <c r="X150">
        <v>0.85452322700000005</v>
      </c>
      <c r="Y150">
        <v>53000</v>
      </c>
      <c r="AA150" s="2" t="s">
        <v>134</v>
      </c>
      <c r="AB150">
        <v>0.85452322700000005</v>
      </c>
      <c r="AD150" s="2" t="s">
        <v>188</v>
      </c>
      <c r="AM150">
        <v>0.52811127082785014</v>
      </c>
      <c r="BC150">
        <v>30000</v>
      </c>
      <c r="BS150">
        <v>0.70713623699999995</v>
      </c>
      <c r="CI150">
        <v>0.65877535777638474</v>
      </c>
      <c r="CY150">
        <v>21000</v>
      </c>
      <c r="DO150">
        <v>42000</v>
      </c>
      <c r="EE150">
        <v>4.6467181000000003E-2</v>
      </c>
      <c r="EM150">
        <v>0.52811127082785014</v>
      </c>
      <c r="EN150">
        <v>30000</v>
      </c>
      <c r="EO150">
        <v>0.70713623699999995</v>
      </c>
      <c r="EP150">
        <v>0.65877535777638474</v>
      </c>
      <c r="EQ150">
        <v>21000</v>
      </c>
      <c r="ER150">
        <v>42000</v>
      </c>
      <c r="ES150">
        <v>4.6467181000000003E-2</v>
      </c>
    </row>
    <row r="151" spans="1:149" x14ac:dyDescent="0.3">
      <c r="A151" s="2" t="s">
        <v>65</v>
      </c>
      <c r="B151">
        <v>46000</v>
      </c>
      <c r="D151" s="2" t="s">
        <v>200</v>
      </c>
      <c r="E151">
        <v>65000</v>
      </c>
      <c r="G151" s="2" t="s">
        <v>200</v>
      </c>
      <c r="H151">
        <v>65000</v>
      </c>
      <c r="I151">
        <v>5.3414673000000003E-2</v>
      </c>
      <c r="M151" s="2" t="s">
        <v>116</v>
      </c>
      <c r="N151">
        <v>13300</v>
      </c>
      <c r="Q151" s="2" t="s">
        <v>143</v>
      </c>
      <c r="R151">
        <v>0.80079709629207885</v>
      </c>
      <c r="T151" s="2" t="s">
        <v>162</v>
      </c>
      <c r="U151">
        <v>0.251388889</v>
      </c>
      <c r="W151" s="2" t="s">
        <v>155</v>
      </c>
      <c r="X151">
        <v>0.79985905599999996</v>
      </c>
      <c r="Y151">
        <v>45000</v>
      </c>
      <c r="AA151" s="2" t="s">
        <v>155</v>
      </c>
      <c r="AB151">
        <v>0.79985905599999996</v>
      </c>
      <c r="AD151" s="2" t="s">
        <v>182</v>
      </c>
      <c r="AF151">
        <v>0.70180272645928732</v>
      </c>
      <c r="AV151">
        <v>38000</v>
      </c>
      <c r="BL151">
        <v>0.37435562300000003</v>
      </c>
      <c r="CB151">
        <v>0.75294705116544502</v>
      </c>
      <c r="CR151">
        <v>12000</v>
      </c>
      <c r="DH151">
        <v>46600</v>
      </c>
      <c r="DX151">
        <v>7.3919718999999995E-2</v>
      </c>
      <c r="EM151">
        <v>0.70180272645928732</v>
      </c>
      <c r="EN151">
        <v>38000</v>
      </c>
      <c r="EO151">
        <v>0.37435562300000003</v>
      </c>
      <c r="EP151">
        <v>0.75294705116544502</v>
      </c>
      <c r="EQ151">
        <v>12000</v>
      </c>
      <c r="ER151">
        <v>46600</v>
      </c>
      <c r="ES151">
        <v>7.3919718999999995E-2</v>
      </c>
    </row>
    <row r="152" spans="1:149" x14ac:dyDescent="0.3">
      <c r="A152" s="2" t="s">
        <v>40</v>
      </c>
      <c r="B152">
        <v>46000</v>
      </c>
      <c r="D152" s="2" t="s">
        <v>204</v>
      </c>
      <c r="E152">
        <v>65000</v>
      </c>
      <c r="G152" s="2" t="s">
        <v>204</v>
      </c>
      <c r="H152">
        <v>65000</v>
      </c>
      <c r="I152">
        <v>6.1748572000000002E-2</v>
      </c>
      <c r="M152" s="2" t="s">
        <v>64</v>
      </c>
      <c r="N152">
        <v>13000</v>
      </c>
      <c r="Q152" s="2" t="s">
        <v>134</v>
      </c>
      <c r="R152">
        <v>0.80124673818498116</v>
      </c>
      <c r="T152" s="2" t="s">
        <v>204</v>
      </c>
      <c r="U152">
        <v>0.24919024000000001</v>
      </c>
      <c r="W152" s="2" t="s">
        <v>79</v>
      </c>
      <c r="X152">
        <v>0.22711794299999999</v>
      </c>
      <c r="Y152">
        <v>78000</v>
      </c>
      <c r="AA152" s="2" t="s">
        <v>79</v>
      </c>
      <c r="AB152">
        <v>0.22711794299999999</v>
      </c>
      <c r="AD152" s="2" t="s">
        <v>134</v>
      </c>
      <c r="AG152">
        <v>0.65840419757553825</v>
      </c>
      <c r="AW152">
        <v>61500</v>
      </c>
      <c r="BM152">
        <v>0.85452322700000005</v>
      </c>
      <c r="CC152">
        <v>0.80124673818498116</v>
      </c>
      <c r="CS152">
        <v>40000</v>
      </c>
      <c r="DI152">
        <v>53000</v>
      </c>
      <c r="DY152">
        <v>4.8872827000000001E-2</v>
      </c>
      <c r="EM152">
        <v>0.65840419757553825</v>
      </c>
      <c r="EN152">
        <v>61500</v>
      </c>
      <c r="EO152">
        <v>0.85452322700000005</v>
      </c>
      <c r="EP152">
        <v>0.80124673818498116</v>
      </c>
      <c r="EQ152">
        <v>40000</v>
      </c>
      <c r="ER152">
        <v>53000</v>
      </c>
      <c r="ES152">
        <v>4.8872827000000001E-2</v>
      </c>
    </row>
    <row r="153" spans="1:149" x14ac:dyDescent="0.3">
      <c r="A153" s="2" t="s">
        <v>155</v>
      </c>
      <c r="B153">
        <v>45000</v>
      </c>
      <c r="D153" s="2" t="s">
        <v>82</v>
      </c>
      <c r="E153">
        <v>65000</v>
      </c>
      <c r="G153" s="2" t="s">
        <v>82</v>
      </c>
      <c r="H153">
        <v>65000</v>
      </c>
      <c r="I153">
        <v>4.3804515000000002E-2</v>
      </c>
      <c r="M153" s="2" t="s">
        <v>68</v>
      </c>
      <c r="N153">
        <v>13000</v>
      </c>
      <c r="Q153" s="2" t="s">
        <v>175</v>
      </c>
      <c r="R153">
        <v>0.80166603077705711</v>
      </c>
      <c r="T153" s="2" t="s">
        <v>124</v>
      </c>
      <c r="U153">
        <v>0.244103081</v>
      </c>
      <c r="W153" s="2" t="s">
        <v>144</v>
      </c>
      <c r="X153">
        <v>0.50514053800000003</v>
      </c>
      <c r="Y153">
        <v>59000</v>
      </c>
      <c r="AA153" s="2" t="s">
        <v>144</v>
      </c>
      <c r="AB153">
        <v>0.50514053800000003</v>
      </c>
      <c r="AD153" s="2" t="s">
        <v>155</v>
      </c>
      <c r="AS153">
        <v>0.64294071762870519</v>
      </c>
      <c r="BI153">
        <v>35900</v>
      </c>
      <c r="BY153">
        <v>0.79985905599999996</v>
      </c>
      <c r="CO153">
        <v>0.67137994239329668</v>
      </c>
      <c r="DE153">
        <v>24000</v>
      </c>
      <c r="DU153">
        <v>45000</v>
      </c>
      <c r="EK153">
        <v>0.102712161</v>
      </c>
      <c r="EM153">
        <v>0.64294071762870519</v>
      </c>
      <c r="EN153">
        <v>35900</v>
      </c>
      <c r="EO153">
        <v>0.79985905599999996</v>
      </c>
      <c r="EP153">
        <v>0.67137994239329668</v>
      </c>
      <c r="EQ153">
        <v>24000</v>
      </c>
      <c r="ER153">
        <v>45000</v>
      </c>
      <c r="ES153">
        <v>0.102712161</v>
      </c>
    </row>
    <row r="154" spans="1:149" x14ac:dyDescent="0.3">
      <c r="A154" s="2" t="s">
        <v>130</v>
      </c>
      <c r="B154">
        <v>45000</v>
      </c>
      <c r="D154" s="2" t="s">
        <v>145</v>
      </c>
      <c r="E154">
        <v>65000</v>
      </c>
      <c r="G154" s="2" t="s">
        <v>145</v>
      </c>
      <c r="H154">
        <v>65000</v>
      </c>
      <c r="I154">
        <v>6.5110534999999997E-2</v>
      </c>
      <c r="M154" s="2" t="s">
        <v>34</v>
      </c>
      <c r="N154">
        <v>13000</v>
      </c>
      <c r="Q154" s="2" t="s">
        <v>201</v>
      </c>
      <c r="R154">
        <v>0.80364642015773835</v>
      </c>
      <c r="T154" s="2" t="s">
        <v>104</v>
      </c>
      <c r="U154">
        <v>0.236062718</v>
      </c>
      <c r="W154" s="2" t="s">
        <v>78</v>
      </c>
      <c r="X154">
        <v>0.341630502</v>
      </c>
      <c r="Y154">
        <v>86000</v>
      </c>
      <c r="AA154" s="2" t="s">
        <v>78</v>
      </c>
      <c r="AB154">
        <v>0.341630502</v>
      </c>
      <c r="AD154" s="2" t="s">
        <v>79</v>
      </c>
      <c r="AL154">
        <v>0.83904866625321972</v>
      </c>
      <c r="BB154">
        <v>50000</v>
      </c>
      <c r="BR154">
        <v>0.22711794299999999</v>
      </c>
      <c r="CH154">
        <v>0.73295072686862262</v>
      </c>
      <c r="CX154">
        <v>18000</v>
      </c>
      <c r="DN154">
        <v>78000</v>
      </c>
      <c r="ED154">
        <v>5.3386588999999998E-2</v>
      </c>
      <c r="EM154">
        <v>0.83904866625321972</v>
      </c>
      <c r="EN154">
        <v>50000</v>
      </c>
      <c r="EO154">
        <v>0.22711794299999999</v>
      </c>
      <c r="EP154">
        <v>0.73295072686862262</v>
      </c>
      <c r="EQ154">
        <v>18000</v>
      </c>
      <c r="ER154">
        <v>78000</v>
      </c>
      <c r="ES154">
        <v>5.3386588999999998E-2</v>
      </c>
    </row>
    <row r="155" spans="1:149" x14ac:dyDescent="0.3">
      <c r="A155" s="2" t="s">
        <v>177</v>
      </c>
      <c r="B155">
        <v>45000</v>
      </c>
      <c r="D155" s="2" t="s">
        <v>206</v>
      </c>
      <c r="E155">
        <v>65000</v>
      </c>
      <c r="G155" s="2" t="s">
        <v>206</v>
      </c>
      <c r="H155">
        <v>65000</v>
      </c>
      <c r="I155">
        <v>4.8472930999999997E-2</v>
      </c>
      <c r="M155" s="2" t="s">
        <v>181</v>
      </c>
      <c r="N155">
        <v>13000</v>
      </c>
      <c r="Q155" s="2" t="s">
        <v>94</v>
      </c>
      <c r="R155">
        <v>0.80525386549676314</v>
      </c>
      <c r="T155" s="2" t="s">
        <v>175</v>
      </c>
      <c r="U155">
        <v>0.23244353200000001</v>
      </c>
      <c r="W155" s="2" t="s">
        <v>202</v>
      </c>
      <c r="X155">
        <v>0.58094800400000002</v>
      </c>
      <c r="Y155">
        <v>58000</v>
      </c>
      <c r="AA155" s="2" t="s">
        <v>202</v>
      </c>
      <c r="AB155">
        <v>0.58094800400000002</v>
      </c>
      <c r="AD155" s="2" t="s">
        <v>144</v>
      </c>
      <c r="AR155">
        <v>0.77398965038495515</v>
      </c>
      <c r="BH155">
        <v>51300</v>
      </c>
      <c r="BX155">
        <v>0.50514053800000003</v>
      </c>
      <c r="CN155">
        <v>0.64297122007907503</v>
      </c>
      <c r="DD155">
        <v>40000</v>
      </c>
      <c r="DT155">
        <v>59000</v>
      </c>
      <c r="EJ155">
        <v>5.4728623999999997E-2</v>
      </c>
      <c r="EM155">
        <v>0.77398965038495515</v>
      </c>
      <c r="EN155">
        <v>51300</v>
      </c>
      <c r="EO155">
        <v>0.50514053800000003</v>
      </c>
      <c r="EP155">
        <v>0.64297122007907503</v>
      </c>
      <c r="EQ155">
        <v>40000</v>
      </c>
      <c r="ER155">
        <v>59000</v>
      </c>
      <c r="ES155">
        <v>5.4728623999999997E-2</v>
      </c>
    </row>
    <row r="156" spans="1:149" x14ac:dyDescent="0.3">
      <c r="A156" s="2" t="s">
        <v>102</v>
      </c>
      <c r="B156">
        <v>45000</v>
      </c>
      <c r="D156" s="2" t="s">
        <v>203</v>
      </c>
      <c r="E156">
        <v>65000</v>
      </c>
      <c r="G156" s="2" t="s">
        <v>203</v>
      </c>
      <c r="H156">
        <v>65000</v>
      </c>
      <c r="I156">
        <v>4.3268259000000003E-2</v>
      </c>
      <c r="M156" s="2" t="s">
        <v>164</v>
      </c>
      <c r="N156">
        <v>13000</v>
      </c>
      <c r="Q156" s="2" t="s">
        <v>183</v>
      </c>
      <c r="R156">
        <v>0.80632621266141358</v>
      </c>
      <c r="T156" s="2" t="s">
        <v>79</v>
      </c>
      <c r="U156">
        <v>0.22711794299999999</v>
      </c>
      <c r="W156" s="2" t="s">
        <v>204</v>
      </c>
      <c r="X156">
        <v>0.24919024000000001</v>
      </c>
      <c r="Y156">
        <v>65000</v>
      </c>
      <c r="AA156" s="2" t="s">
        <v>204</v>
      </c>
      <c r="AB156">
        <v>0.24919024000000001</v>
      </c>
      <c r="AD156" s="2" t="s">
        <v>78</v>
      </c>
      <c r="AL156">
        <v>0.83074025983887256</v>
      </c>
      <c r="BB156">
        <v>60000</v>
      </c>
      <c r="BR156">
        <v>0.341630502</v>
      </c>
      <c r="CH156">
        <v>0.70034459653489045</v>
      </c>
      <c r="CX156">
        <v>12000</v>
      </c>
      <c r="DN156">
        <v>86000</v>
      </c>
      <c r="ED156">
        <v>4.6261361000000001E-2</v>
      </c>
      <c r="EM156">
        <v>0.83074025983887256</v>
      </c>
      <c r="EN156">
        <v>60000</v>
      </c>
      <c r="EO156">
        <v>0.341630502</v>
      </c>
      <c r="EP156">
        <v>0.70034459653489045</v>
      </c>
      <c r="EQ156">
        <v>12000</v>
      </c>
      <c r="ER156">
        <v>86000</v>
      </c>
      <c r="ES156">
        <v>4.6261361000000001E-2</v>
      </c>
    </row>
    <row r="157" spans="1:149" x14ac:dyDescent="0.3">
      <c r="A157" s="2" t="s">
        <v>152</v>
      </c>
      <c r="B157">
        <v>45000</v>
      </c>
      <c r="D157" s="2" t="s">
        <v>77</v>
      </c>
      <c r="E157">
        <v>65000</v>
      </c>
      <c r="G157" s="2" t="s">
        <v>77</v>
      </c>
      <c r="H157">
        <v>65000</v>
      </c>
      <c r="I157">
        <v>7.9035833999999999E-2</v>
      </c>
      <c r="M157" s="2" t="s">
        <v>42</v>
      </c>
      <c r="N157">
        <v>13000</v>
      </c>
      <c r="Q157" s="2" t="s">
        <v>27</v>
      </c>
      <c r="R157">
        <v>0.80633824979543878</v>
      </c>
      <c r="T157" s="2" t="s">
        <v>30</v>
      </c>
      <c r="U157">
        <v>0.222695002</v>
      </c>
      <c r="W157" s="2" t="s">
        <v>114</v>
      </c>
      <c r="X157">
        <v>0.52896915</v>
      </c>
      <c r="Y157">
        <v>50000</v>
      </c>
      <c r="AA157" s="2" t="s">
        <v>114</v>
      </c>
      <c r="AB157">
        <v>0.52896915</v>
      </c>
      <c r="AD157" s="2" t="s">
        <v>202</v>
      </c>
      <c r="AH157">
        <v>0.8237281886919714</v>
      </c>
      <c r="AX157">
        <v>46500</v>
      </c>
      <c r="BN157">
        <v>0.58094800400000002</v>
      </c>
      <c r="CD157">
        <v>0.75376675598925569</v>
      </c>
      <c r="CT157">
        <v>17000</v>
      </c>
      <c r="DJ157">
        <v>58000</v>
      </c>
      <c r="DZ157">
        <v>5.8865336999999997E-2</v>
      </c>
      <c r="EM157">
        <v>0.8237281886919714</v>
      </c>
      <c r="EN157">
        <v>46500</v>
      </c>
      <c r="EO157">
        <v>0.58094800400000002</v>
      </c>
      <c r="EP157">
        <v>0.75376675598925569</v>
      </c>
      <c r="EQ157">
        <v>17000</v>
      </c>
      <c r="ER157">
        <v>58000</v>
      </c>
      <c r="ES157">
        <v>5.8865336999999997E-2</v>
      </c>
    </row>
    <row r="158" spans="1:149" x14ac:dyDescent="0.3">
      <c r="A158" s="2" t="s">
        <v>68</v>
      </c>
      <c r="B158">
        <v>45000</v>
      </c>
      <c r="D158" s="2" t="s">
        <v>174</v>
      </c>
      <c r="E158">
        <v>65000</v>
      </c>
      <c r="G158" s="2" t="s">
        <v>174</v>
      </c>
      <c r="H158">
        <v>65000</v>
      </c>
      <c r="I158">
        <v>5.1097081000000003E-2</v>
      </c>
      <c r="M158" s="2" t="s">
        <v>185</v>
      </c>
      <c r="N158">
        <v>12750</v>
      </c>
      <c r="Q158" s="2" t="s">
        <v>45</v>
      </c>
      <c r="R158">
        <v>0.80711887999318221</v>
      </c>
      <c r="T158" s="2" t="s">
        <v>211</v>
      </c>
      <c r="U158">
        <v>0.20002271699999999</v>
      </c>
      <c r="W158" s="2" t="s">
        <v>77</v>
      </c>
      <c r="X158">
        <v>0.11955890299999999</v>
      </c>
      <c r="Y158">
        <v>65000</v>
      </c>
      <c r="AA158" s="2" t="s">
        <v>77</v>
      </c>
      <c r="AB158">
        <v>0.11955890299999999</v>
      </c>
      <c r="AD158" s="2" t="s">
        <v>204</v>
      </c>
      <c r="AH158">
        <v>0.83595191694117243</v>
      </c>
      <c r="AX158">
        <v>55000</v>
      </c>
      <c r="BN158">
        <v>0.24919024000000001</v>
      </c>
      <c r="CD158">
        <v>0.76750896792725054</v>
      </c>
      <c r="CT158">
        <v>24000</v>
      </c>
      <c r="DJ158">
        <v>65000</v>
      </c>
      <c r="DZ158">
        <v>6.1748572000000002E-2</v>
      </c>
      <c r="EM158">
        <v>0.83595191694117243</v>
      </c>
      <c r="EN158">
        <v>55000</v>
      </c>
      <c r="EO158">
        <v>0.24919024000000001</v>
      </c>
      <c r="EP158">
        <v>0.76750896792725054</v>
      </c>
      <c r="EQ158">
        <v>24000</v>
      </c>
      <c r="ER158">
        <v>65000</v>
      </c>
      <c r="ES158">
        <v>6.1748572000000002E-2</v>
      </c>
    </row>
    <row r="159" spans="1:149" x14ac:dyDescent="0.3">
      <c r="A159" s="2" t="s">
        <v>66</v>
      </c>
      <c r="B159">
        <v>45000</v>
      </c>
      <c r="D159" s="2" t="s">
        <v>124</v>
      </c>
      <c r="E159">
        <v>66000</v>
      </c>
      <c r="G159" s="2" t="s">
        <v>124</v>
      </c>
      <c r="H159">
        <v>66000</v>
      </c>
      <c r="I159">
        <v>5.2936080000000003E-2</v>
      </c>
      <c r="M159" s="2" t="s">
        <v>111</v>
      </c>
      <c r="N159">
        <v>12000</v>
      </c>
      <c r="Q159" s="2" t="s">
        <v>116</v>
      </c>
      <c r="R159">
        <v>0.80911655792629167</v>
      </c>
      <c r="T159" s="2" t="s">
        <v>80</v>
      </c>
      <c r="U159">
        <v>0.199412643</v>
      </c>
      <c r="W159" s="2" t="s">
        <v>112</v>
      </c>
      <c r="X159">
        <v>0.60185815200000004</v>
      </c>
      <c r="Y159">
        <v>51000</v>
      </c>
      <c r="AA159" s="2" t="s">
        <v>112</v>
      </c>
      <c r="AB159">
        <v>0.60185815200000004</v>
      </c>
      <c r="AD159" s="2" t="s">
        <v>114</v>
      </c>
      <c r="AG159">
        <v>0.68214131839724257</v>
      </c>
      <c r="AW159">
        <v>43000</v>
      </c>
      <c r="BM159">
        <v>0.52896915</v>
      </c>
      <c r="CC159">
        <v>0.65680933852140078</v>
      </c>
      <c r="CS159">
        <v>20000</v>
      </c>
      <c r="DI159">
        <v>50000</v>
      </c>
      <c r="DY159">
        <v>3.4023514999999997E-2</v>
      </c>
      <c r="EM159">
        <v>0.68214131839724257</v>
      </c>
      <c r="EN159">
        <v>43000</v>
      </c>
      <c r="EO159">
        <v>0.52896915</v>
      </c>
      <c r="EP159">
        <v>0.65680933852140078</v>
      </c>
      <c r="EQ159">
        <v>20000</v>
      </c>
      <c r="ER159">
        <v>50000</v>
      </c>
      <c r="ES159">
        <v>3.4023514999999997E-2</v>
      </c>
    </row>
    <row r="160" spans="1:149" x14ac:dyDescent="0.3">
      <c r="A160" s="2" t="s">
        <v>186</v>
      </c>
      <c r="B160">
        <v>45000</v>
      </c>
      <c r="D160" s="2" t="s">
        <v>96</v>
      </c>
      <c r="E160">
        <v>67000</v>
      </c>
      <c r="G160" s="2" t="s">
        <v>96</v>
      </c>
      <c r="H160">
        <v>67000</v>
      </c>
      <c r="I160">
        <v>5.8384093999999997E-2</v>
      </c>
      <c r="M160" s="2" t="s">
        <v>177</v>
      </c>
      <c r="N160">
        <v>12000</v>
      </c>
      <c r="Q160" s="2" t="s">
        <v>160</v>
      </c>
      <c r="R160">
        <v>0.81011198706713805</v>
      </c>
      <c r="T160" s="2" t="s">
        <v>74</v>
      </c>
      <c r="U160">
        <v>0.19645025599999999</v>
      </c>
      <c r="W160" s="2" t="s">
        <v>75</v>
      </c>
      <c r="X160">
        <v>0.32078431400000001</v>
      </c>
      <c r="Y160">
        <v>62000</v>
      </c>
      <c r="AA160" s="2" t="s">
        <v>75</v>
      </c>
      <c r="AB160">
        <v>0.32078431400000001</v>
      </c>
      <c r="AD160" s="2" t="s">
        <v>77</v>
      </c>
      <c r="AL160">
        <v>0.71466293880086984</v>
      </c>
      <c r="BB160">
        <v>56000</v>
      </c>
      <c r="BR160">
        <v>0.11955890299999999</v>
      </c>
      <c r="CH160">
        <v>0.70180410966370521</v>
      </c>
      <c r="CX160">
        <v>20000</v>
      </c>
      <c r="DN160">
        <v>65000</v>
      </c>
      <c r="ED160">
        <v>7.9035833999999999E-2</v>
      </c>
      <c r="EM160">
        <v>0.71466293880086984</v>
      </c>
      <c r="EN160">
        <v>56000</v>
      </c>
      <c r="EO160">
        <v>0.11955890299999999</v>
      </c>
      <c r="EP160">
        <v>0.70180410966370521</v>
      </c>
      <c r="EQ160">
        <v>20000</v>
      </c>
      <c r="ER160">
        <v>65000</v>
      </c>
      <c r="ES160">
        <v>7.9035833999999999E-2</v>
      </c>
    </row>
    <row r="161" spans="1:149" x14ac:dyDescent="0.3">
      <c r="A161" s="2" t="s">
        <v>180</v>
      </c>
      <c r="B161">
        <v>45000</v>
      </c>
      <c r="D161" s="2" t="s">
        <v>176</v>
      </c>
      <c r="E161">
        <v>67000</v>
      </c>
      <c r="G161" s="2" t="s">
        <v>176</v>
      </c>
      <c r="H161">
        <v>67000</v>
      </c>
      <c r="I161">
        <v>4.7263682000000001E-2</v>
      </c>
      <c r="M161" s="2" t="s">
        <v>182</v>
      </c>
      <c r="N161">
        <v>12000</v>
      </c>
      <c r="Q161" s="2" t="s">
        <v>209</v>
      </c>
      <c r="R161">
        <v>0.81349139175719676</v>
      </c>
      <c r="T161" s="2" t="s">
        <v>93</v>
      </c>
      <c r="U161">
        <v>0.18997043699999999</v>
      </c>
      <c r="W161" s="2" t="s">
        <v>113</v>
      </c>
      <c r="X161">
        <v>0.51540644899999999</v>
      </c>
      <c r="Y161">
        <v>53000</v>
      </c>
      <c r="AA161" s="2" t="s">
        <v>113</v>
      </c>
      <c r="AB161">
        <v>0.51540644899999999</v>
      </c>
      <c r="AD161" s="2" t="s">
        <v>112</v>
      </c>
      <c r="AG161">
        <v>0.72509557024005322</v>
      </c>
      <c r="AW161">
        <v>45000</v>
      </c>
      <c r="BM161">
        <v>0.60185815200000004</v>
      </c>
      <c r="CC161">
        <v>0.6945931522156068</v>
      </c>
      <c r="CS161">
        <v>41000</v>
      </c>
      <c r="DI161">
        <v>51000</v>
      </c>
      <c r="DY161">
        <v>5.930117E-2</v>
      </c>
      <c r="EM161">
        <v>0.72509557024005322</v>
      </c>
      <c r="EN161">
        <v>45000</v>
      </c>
      <c r="EO161">
        <v>0.60185815200000004</v>
      </c>
      <c r="EP161">
        <v>0.6945931522156068</v>
      </c>
      <c r="EQ161">
        <v>41000</v>
      </c>
      <c r="ER161">
        <v>51000</v>
      </c>
      <c r="ES161">
        <v>5.930117E-2</v>
      </c>
    </row>
    <row r="162" spans="1:149" x14ac:dyDescent="0.3">
      <c r="A162" s="2" t="s">
        <v>197</v>
      </c>
      <c r="B162">
        <v>45000</v>
      </c>
      <c r="D162" s="2" t="s">
        <v>52</v>
      </c>
      <c r="E162">
        <v>68000</v>
      </c>
      <c r="G162" s="2" t="s">
        <v>52</v>
      </c>
      <c r="H162">
        <v>68000</v>
      </c>
      <c r="I162">
        <v>5.2841063000000001E-2</v>
      </c>
      <c r="M162" s="2" t="s">
        <v>78</v>
      </c>
      <c r="N162">
        <v>12000</v>
      </c>
      <c r="Q162" s="2" t="s">
        <v>149</v>
      </c>
      <c r="R162">
        <v>0.81381798002219752</v>
      </c>
      <c r="T162" s="2" t="s">
        <v>82</v>
      </c>
      <c r="U162">
        <v>0.18398518899999999</v>
      </c>
      <c r="W162" s="2" t="s">
        <v>143</v>
      </c>
      <c r="X162">
        <v>0.12495049499999999</v>
      </c>
      <c r="Y162">
        <v>60000</v>
      </c>
      <c r="AA162" s="2" t="s">
        <v>143</v>
      </c>
      <c r="AB162">
        <v>0.12495049499999999</v>
      </c>
      <c r="AD162" s="2" t="s">
        <v>75</v>
      </c>
      <c r="AL162">
        <v>0.76724351050679851</v>
      </c>
      <c r="BB162">
        <v>51000</v>
      </c>
      <c r="BR162">
        <v>0.32078431400000001</v>
      </c>
      <c r="CH162">
        <v>0.74111396115793327</v>
      </c>
      <c r="CX162">
        <v>15000</v>
      </c>
      <c r="DN162">
        <v>62000</v>
      </c>
      <c r="ED162">
        <v>5.8974061000000001E-2</v>
      </c>
      <c r="EM162">
        <v>0.76724351050679851</v>
      </c>
      <c r="EN162">
        <v>51000</v>
      </c>
      <c r="EO162">
        <v>0.32078431400000001</v>
      </c>
      <c r="EP162">
        <v>0.74111396115793327</v>
      </c>
      <c r="EQ162">
        <v>15000</v>
      </c>
      <c r="ER162">
        <v>62000</v>
      </c>
      <c r="ES162">
        <v>5.8974061000000001E-2</v>
      </c>
    </row>
    <row r="163" spans="1:149" x14ac:dyDescent="0.3">
      <c r="A163" s="2" t="s">
        <v>159</v>
      </c>
      <c r="B163">
        <v>45000</v>
      </c>
      <c r="D163" s="2" t="s">
        <v>166</v>
      </c>
      <c r="E163">
        <v>69000</v>
      </c>
      <c r="G163" s="2" t="s">
        <v>166</v>
      </c>
      <c r="H163">
        <v>69000</v>
      </c>
      <c r="I163">
        <v>6.1312717000000003E-2</v>
      </c>
      <c r="M163" s="2" t="s">
        <v>27</v>
      </c>
      <c r="N163">
        <v>12000</v>
      </c>
      <c r="Q163" s="2" t="s">
        <v>133</v>
      </c>
      <c r="R163">
        <v>0.81765033407572385</v>
      </c>
      <c r="T163" s="2" t="s">
        <v>53</v>
      </c>
      <c r="U163">
        <v>0.180882718</v>
      </c>
      <c r="W163" s="2" t="s">
        <v>142</v>
      </c>
      <c r="X163">
        <v>0.441355573</v>
      </c>
      <c r="Y163">
        <v>80000</v>
      </c>
      <c r="AA163" s="2" t="s">
        <v>142</v>
      </c>
      <c r="AB163">
        <v>0.441355573</v>
      </c>
      <c r="AD163" s="2" t="s">
        <v>113</v>
      </c>
      <c r="AG163">
        <v>0.70546069893904251</v>
      </c>
      <c r="AW163">
        <v>49000</v>
      </c>
      <c r="BM163">
        <v>0.51540644899999999</v>
      </c>
      <c r="CC163">
        <v>0.6982554897639468</v>
      </c>
      <c r="CS163">
        <v>41000</v>
      </c>
      <c r="DI163">
        <v>53000</v>
      </c>
      <c r="DY163">
        <v>7.1597528999999993E-2</v>
      </c>
      <c r="EM163">
        <v>0.70546069893904251</v>
      </c>
      <c r="EN163">
        <v>49000</v>
      </c>
      <c r="EO163">
        <v>0.51540644899999999</v>
      </c>
      <c r="EP163">
        <v>0.6982554897639468</v>
      </c>
      <c r="EQ163">
        <v>41000</v>
      </c>
      <c r="ER163">
        <v>53000</v>
      </c>
      <c r="ES163">
        <v>7.1597528999999993E-2</v>
      </c>
    </row>
    <row r="164" spans="1:149" x14ac:dyDescent="0.3">
      <c r="A164" s="2" t="s">
        <v>115</v>
      </c>
      <c r="B164">
        <v>45000</v>
      </c>
      <c r="D164" s="2" t="s">
        <v>148</v>
      </c>
      <c r="E164">
        <v>70000</v>
      </c>
      <c r="G164" s="2" t="s">
        <v>148</v>
      </c>
      <c r="H164">
        <v>70000</v>
      </c>
      <c r="I164">
        <v>5.2090055000000003E-2</v>
      </c>
      <c r="M164" s="2" t="s">
        <v>175</v>
      </c>
      <c r="N164">
        <v>12000</v>
      </c>
      <c r="Q164" s="2" t="s">
        <v>137</v>
      </c>
      <c r="R164">
        <v>0.81813823275087116</v>
      </c>
      <c r="T164" s="2" t="s">
        <v>190</v>
      </c>
      <c r="U164">
        <v>0.17898193800000001</v>
      </c>
      <c r="W164" s="2" t="s">
        <v>184</v>
      </c>
      <c r="X164">
        <v>0.84593437900000001</v>
      </c>
      <c r="Y164">
        <v>44500</v>
      </c>
      <c r="AA164" s="2" t="s">
        <v>184</v>
      </c>
      <c r="AB164">
        <v>0.84593437900000001</v>
      </c>
      <c r="AD164" s="2" t="s">
        <v>143</v>
      </c>
      <c r="AR164">
        <v>0.80856736580163524</v>
      </c>
      <c r="BH164">
        <v>51000</v>
      </c>
      <c r="BX164">
        <v>0.12495049499999999</v>
      </c>
      <c r="CN164">
        <v>0.80079709629207885</v>
      </c>
      <c r="DD164">
        <v>22000</v>
      </c>
      <c r="DT164">
        <v>60000</v>
      </c>
      <c r="EJ164">
        <v>3.6726307999999999E-2</v>
      </c>
      <c r="EM164">
        <v>0.80856736580163524</v>
      </c>
      <c r="EN164">
        <v>51000</v>
      </c>
      <c r="EO164">
        <v>0.12495049499999999</v>
      </c>
      <c r="EP164">
        <v>0.80079709629207885</v>
      </c>
      <c r="EQ164">
        <v>22000</v>
      </c>
      <c r="ER164">
        <v>60000</v>
      </c>
      <c r="ES164">
        <v>3.6726307999999999E-2</v>
      </c>
    </row>
    <row r="165" spans="1:149" x14ac:dyDescent="0.3">
      <c r="A165" s="2" t="s">
        <v>138</v>
      </c>
      <c r="B165">
        <v>45000</v>
      </c>
      <c r="D165" s="2" t="s">
        <v>83</v>
      </c>
      <c r="E165">
        <v>70000</v>
      </c>
      <c r="G165" s="2" t="s">
        <v>83</v>
      </c>
      <c r="H165">
        <v>70000</v>
      </c>
      <c r="I165">
        <v>4.5732003E-2</v>
      </c>
      <c r="M165" s="2" t="s">
        <v>157</v>
      </c>
      <c r="N165">
        <v>12000</v>
      </c>
      <c r="Q165" s="2" t="s">
        <v>206</v>
      </c>
      <c r="R165">
        <v>0.82136138965498662</v>
      </c>
      <c r="T165" s="2" t="s">
        <v>95</v>
      </c>
      <c r="U165">
        <v>0.17412250500000001</v>
      </c>
      <c r="W165" s="2" t="s">
        <v>71</v>
      </c>
      <c r="X165">
        <v>0.68602439999999998</v>
      </c>
      <c r="Y165">
        <v>42600</v>
      </c>
      <c r="AA165" s="2" t="s">
        <v>71</v>
      </c>
      <c r="AB165">
        <v>0.68602439999999998</v>
      </c>
      <c r="AD165" s="2" t="s">
        <v>142</v>
      </c>
      <c r="AR165">
        <v>0.7197058823529412</v>
      </c>
      <c r="BH165">
        <v>66000</v>
      </c>
      <c r="BX165">
        <v>0.441355573</v>
      </c>
      <c r="CN165">
        <v>0.72340425531914898</v>
      </c>
      <c r="DD165">
        <v>11000</v>
      </c>
      <c r="DT165">
        <v>80000</v>
      </c>
      <c r="EJ165">
        <v>8.6021504999999998E-2</v>
      </c>
      <c r="EM165">
        <v>0.7197058823529412</v>
      </c>
      <c r="EN165">
        <v>66000</v>
      </c>
      <c r="EO165">
        <v>0.441355573</v>
      </c>
      <c r="EP165">
        <v>0.72340425531914898</v>
      </c>
      <c r="EQ165">
        <v>11000</v>
      </c>
      <c r="ER165">
        <v>80000</v>
      </c>
      <c r="ES165">
        <v>8.6021504999999998E-2</v>
      </c>
    </row>
    <row r="166" spans="1:149" x14ac:dyDescent="0.3">
      <c r="A166" s="2" t="s">
        <v>135</v>
      </c>
      <c r="B166">
        <v>45000</v>
      </c>
      <c r="D166" s="2" t="s">
        <v>126</v>
      </c>
      <c r="E166">
        <v>70000</v>
      </c>
      <c r="G166" s="2" t="s">
        <v>126</v>
      </c>
      <c r="H166">
        <v>70000</v>
      </c>
      <c r="I166">
        <v>5.7054045999999997E-2</v>
      </c>
      <c r="M166" s="2" t="s">
        <v>163</v>
      </c>
      <c r="N166">
        <v>11400</v>
      </c>
      <c r="Q166" s="2" t="s">
        <v>53</v>
      </c>
      <c r="R166">
        <v>0.8222651288044307</v>
      </c>
      <c r="T166" s="2" t="s">
        <v>88</v>
      </c>
      <c r="U166">
        <v>0.153037383</v>
      </c>
      <c r="W166" s="2" t="s">
        <v>40</v>
      </c>
      <c r="X166">
        <v>0.75806026900000001</v>
      </c>
      <c r="Y166">
        <v>46000</v>
      </c>
      <c r="AA166" s="2" t="s">
        <v>40</v>
      </c>
      <c r="AB166">
        <v>0.75806026900000001</v>
      </c>
      <c r="AD166" s="2" t="s">
        <v>184</v>
      </c>
      <c r="AN166">
        <v>0.63608777224895996</v>
      </c>
      <c r="BD166">
        <v>40000</v>
      </c>
      <c r="BT166">
        <v>0.84593437900000001</v>
      </c>
      <c r="CJ166">
        <v>0.6746686919385374</v>
      </c>
      <c r="CZ166">
        <v>19500</v>
      </c>
      <c r="DP166">
        <v>44500</v>
      </c>
      <c r="EF166">
        <v>6.3912645000000004E-2</v>
      </c>
      <c r="EM166">
        <v>0.63608777224895996</v>
      </c>
      <c r="EN166">
        <v>40000</v>
      </c>
      <c r="EO166">
        <v>0.84593437900000001</v>
      </c>
      <c r="EP166">
        <v>0.6746686919385374</v>
      </c>
      <c r="EQ166">
        <v>19500</v>
      </c>
      <c r="ER166">
        <v>44500</v>
      </c>
      <c r="ES166">
        <v>6.3912645000000004E-2</v>
      </c>
    </row>
    <row r="167" spans="1:149" x14ac:dyDescent="0.3">
      <c r="A167" s="2" t="s">
        <v>184</v>
      </c>
      <c r="B167">
        <v>44500</v>
      </c>
      <c r="D167" s="2" t="s">
        <v>97</v>
      </c>
      <c r="E167">
        <v>70000</v>
      </c>
      <c r="G167" s="2" t="s">
        <v>97</v>
      </c>
      <c r="H167">
        <v>70000</v>
      </c>
      <c r="I167">
        <v>4.9846002E-2</v>
      </c>
      <c r="M167" s="2" t="s">
        <v>128</v>
      </c>
      <c r="N167">
        <v>11000</v>
      </c>
      <c r="Q167" s="2" t="s">
        <v>98</v>
      </c>
      <c r="R167">
        <v>0.82424696742537817</v>
      </c>
      <c r="T167" s="2" t="s">
        <v>91</v>
      </c>
      <c r="U167">
        <v>0.144966965</v>
      </c>
      <c r="W167" s="2" t="s">
        <v>38</v>
      </c>
      <c r="X167">
        <v>0.32176966299999998</v>
      </c>
      <c r="Y167">
        <v>63000</v>
      </c>
      <c r="AA167" s="2" t="s">
        <v>38</v>
      </c>
      <c r="AB167">
        <v>0.32176966299999998</v>
      </c>
      <c r="AD167" s="2" t="s">
        <v>71</v>
      </c>
      <c r="AK167">
        <v>0.61070256962212954</v>
      </c>
      <c r="BA167">
        <v>24000</v>
      </c>
      <c r="BQ167">
        <v>0.68602439999999998</v>
      </c>
      <c r="CG167">
        <v>0.66918973005378224</v>
      </c>
      <c r="CW167">
        <v>15000</v>
      </c>
      <c r="DM167">
        <v>42600</v>
      </c>
      <c r="EC167">
        <v>4.0973373E-2</v>
      </c>
      <c r="EM167">
        <v>0.61070256962212954</v>
      </c>
      <c r="EN167">
        <v>24000</v>
      </c>
      <c r="EO167">
        <v>0.68602439999999998</v>
      </c>
      <c r="EP167">
        <v>0.66918973005378224</v>
      </c>
      <c r="EQ167">
        <v>15000</v>
      </c>
      <c r="ER167">
        <v>42600</v>
      </c>
      <c r="ES167">
        <v>4.0973373E-2</v>
      </c>
    </row>
    <row r="168" spans="1:149" x14ac:dyDescent="0.3">
      <c r="A168" s="2" t="s">
        <v>137</v>
      </c>
      <c r="B168">
        <v>44000</v>
      </c>
      <c r="D168" s="2" t="s">
        <v>93</v>
      </c>
      <c r="E168">
        <v>70000</v>
      </c>
      <c r="G168" s="2" t="s">
        <v>93</v>
      </c>
      <c r="H168">
        <v>70000</v>
      </c>
      <c r="I168">
        <v>5.8821008000000001E-2</v>
      </c>
      <c r="M168" s="2" t="s">
        <v>72</v>
      </c>
      <c r="N168">
        <v>11000</v>
      </c>
      <c r="Q168" s="2" t="s">
        <v>34</v>
      </c>
      <c r="R168">
        <v>0.82560835391024068</v>
      </c>
      <c r="T168" s="2" t="s">
        <v>87</v>
      </c>
      <c r="U168">
        <v>0.13979280099999999</v>
      </c>
      <c r="W168" s="2" t="s">
        <v>76</v>
      </c>
      <c r="X168">
        <v>0.350442478</v>
      </c>
      <c r="Y168">
        <v>78000</v>
      </c>
      <c r="AA168" s="2" t="s">
        <v>76</v>
      </c>
      <c r="AB168">
        <v>0.350442478</v>
      </c>
      <c r="AD168" s="2" t="s">
        <v>40</v>
      </c>
      <c r="AN168">
        <v>0.66664028074619386</v>
      </c>
      <c r="BD168">
        <v>39000</v>
      </c>
      <c r="BT168">
        <v>0.75806026900000001</v>
      </c>
      <c r="CJ168">
        <v>0.73065355696934642</v>
      </c>
      <c r="CZ168">
        <v>25000</v>
      </c>
      <c r="DP168">
        <v>46000</v>
      </c>
      <c r="EF168">
        <v>6.7938958999999993E-2</v>
      </c>
      <c r="EM168">
        <v>0.66664028074619386</v>
      </c>
      <c r="EN168">
        <v>39000</v>
      </c>
      <c r="EO168">
        <v>0.75806026900000001</v>
      </c>
      <c r="EP168">
        <v>0.73065355696934642</v>
      </c>
      <c r="EQ168">
        <v>25000</v>
      </c>
      <c r="ER168">
        <v>46000</v>
      </c>
      <c r="ES168">
        <v>6.7938958999999993E-2</v>
      </c>
    </row>
    <row r="169" spans="1:149" x14ac:dyDescent="0.3">
      <c r="A169" s="2" t="s">
        <v>167</v>
      </c>
      <c r="B169">
        <v>43000</v>
      </c>
      <c r="D169" s="2" t="s">
        <v>125</v>
      </c>
      <c r="E169">
        <v>70000</v>
      </c>
      <c r="G169" s="2" t="s">
        <v>125</v>
      </c>
      <c r="H169">
        <v>70000</v>
      </c>
      <c r="I169">
        <v>5.5652607999999999E-2</v>
      </c>
      <c r="M169" s="2" t="s">
        <v>142</v>
      </c>
      <c r="N169">
        <v>11000</v>
      </c>
      <c r="Q169" s="2" t="s">
        <v>99</v>
      </c>
      <c r="R169">
        <v>0.82710760795065108</v>
      </c>
      <c r="T169" s="2" t="s">
        <v>160</v>
      </c>
      <c r="U169">
        <v>0.12503465499999999</v>
      </c>
      <c r="W169" s="2" t="s">
        <v>125</v>
      </c>
      <c r="X169">
        <v>0.75392736000000005</v>
      </c>
      <c r="Y169">
        <v>70000</v>
      </c>
      <c r="AA169" s="2" t="s">
        <v>125</v>
      </c>
      <c r="AB169">
        <v>0.75392736000000005</v>
      </c>
      <c r="AD169" s="2" t="s">
        <v>38</v>
      </c>
      <c r="AL169">
        <v>0.75204133413295193</v>
      </c>
      <c r="BB169">
        <v>53100</v>
      </c>
      <c r="BR169">
        <v>0.32176966299999998</v>
      </c>
      <c r="CH169">
        <v>0.73558155633678557</v>
      </c>
      <c r="CX169">
        <v>8000</v>
      </c>
      <c r="DN169">
        <v>63000</v>
      </c>
      <c r="ED169">
        <v>8.5991128999999999E-2</v>
      </c>
      <c r="EM169">
        <v>0.75204133413295193</v>
      </c>
      <c r="EN169">
        <v>53100</v>
      </c>
      <c r="EO169">
        <v>0.32176966299999998</v>
      </c>
      <c r="EP169">
        <v>0.73558155633678557</v>
      </c>
      <c r="EQ169">
        <v>8000</v>
      </c>
      <c r="ER169">
        <v>63000</v>
      </c>
      <c r="ES169">
        <v>8.5991128999999999E-2</v>
      </c>
    </row>
    <row r="170" spans="1:149" x14ac:dyDescent="0.3">
      <c r="A170" s="2" t="s">
        <v>128</v>
      </c>
      <c r="B170">
        <v>43000</v>
      </c>
      <c r="D170" s="2" t="s">
        <v>210</v>
      </c>
      <c r="E170">
        <v>72000</v>
      </c>
      <c r="G170" s="2" t="s">
        <v>210</v>
      </c>
      <c r="H170">
        <v>72000</v>
      </c>
      <c r="I170">
        <v>4.3977136999999999E-2</v>
      </c>
      <c r="M170" s="2" t="s">
        <v>123</v>
      </c>
      <c r="N170">
        <v>10000</v>
      </c>
      <c r="Q170" s="2" t="s">
        <v>203</v>
      </c>
      <c r="R170">
        <v>0.82763986013986013</v>
      </c>
      <c r="T170" s="2" t="s">
        <v>143</v>
      </c>
      <c r="U170">
        <v>0.12495049499999999</v>
      </c>
      <c r="W170" s="2" t="s">
        <v>167</v>
      </c>
      <c r="X170">
        <v>0.96895368299999995</v>
      </c>
      <c r="Y170">
        <v>43000</v>
      </c>
      <c r="AA170" s="2" t="s">
        <v>167</v>
      </c>
      <c r="AB170">
        <v>0.96895368299999995</v>
      </c>
      <c r="AD170" s="2" t="s">
        <v>76</v>
      </c>
      <c r="AL170">
        <v>0.8152847662801721</v>
      </c>
      <c r="BB170">
        <v>52000</v>
      </c>
      <c r="BR170">
        <v>0.350442478</v>
      </c>
      <c r="CH170">
        <v>0.70010721396844844</v>
      </c>
      <c r="CX170">
        <v>-2000</v>
      </c>
      <c r="DN170">
        <v>78000</v>
      </c>
      <c r="ED170">
        <v>6.9042770000000003E-2</v>
      </c>
      <c r="EM170">
        <v>0.8152847662801721</v>
      </c>
      <c r="EN170">
        <v>52000</v>
      </c>
      <c r="EO170">
        <v>0.350442478</v>
      </c>
      <c r="EP170">
        <v>0.70010721396844844</v>
      </c>
      <c r="EQ170">
        <v>-2000</v>
      </c>
      <c r="ER170">
        <v>78000</v>
      </c>
      <c r="ES170">
        <v>6.9042770000000003E-2</v>
      </c>
    </row>
    <row r="171" spans="1:149" x14ac:dyDescent="0.3">
      <c r="A171" s="2" t="s">
        <v>57</v>
      </c>
      <c r="B171">
        <v>43000</v>
      </c>
      <c r="D171" s="2" t="s">
        <v>201</v>
      </c>
      <c r="E171">
        <v>72000</v>
      </c>
      <c r="G171" s="2" t="s">
        <v>201</v>
      </c>
      <c r="H171">
        <v>72000</v>
      </c>
      <c r="I171">
        <v>5.6063522999999997E-2</v>
      </c>
      <c r="M171" s="2" t="s">
        <v>156</v>
      </c>
      <c r="N171">
        <v>10000</v>
      </c>
      <c r="Q171" s="2" t="s">
        <v>80</v>
      </c>
      <c r="R171">
        <v>0.83511935651271407</v>
      </c>
      <c r="T171" s="2" t="s">
        <v>92</v>
      </c>
      <c r="U171">
        <v>0.120564344</v>
      </c>
      <c r="W171" s="2" t="s">
        <v>29</v>
      </c>
      <c r="X171">
        <v>0.91093257000000005</v>
      </c>
      <c r="Y171">
        <v>46000</v>
      </c>
      <c r="AA171" s="2" t="s">
        <v>29</v>
      </c>
      <c r="AB171">
        <v>0.91093257000000005</v>
      </c>
      <c r="AD171" s="2" t="s">
        <v>125</v>
      </c>
      <c r="AJ171">
        <v>0.80001321353065535</v>
      </c>
      <c r="AZ171">
        <v>59000</v>
      </c>
      <c r="BP171">
        <v>0.75392736000000005</v>
      </c>
      <c r="CF171">
        <v>0.79196316450397652</v>
      </c>
      <c r="CV171">
        <v>24000</v>
      </c>
      <c r="DL171">
        <v>70000</v>
      </c>
      <c r="EB171">
        <v>5.5652607999999999E-2</v>
      </c>
      <c r="EM171">
        <v>0.80001321353065535</v>
      </c>
      <c r="EN171">
        <v>59000</v>
      </c>
      <c r="EO171">
        <v>0.75392736000000005</v>
      </c>
      <c r="EP171">
        <v>0.79196316450397652</v>
      </c>
      <c r="EQ171">
        <v>24000</v>
      </c>
      <c r="ER171">
        <v>70000</v>
      </c>
      <c r="ES171">
        <v>5.5652607999999999E-2</v>
      </c>
    </row>
    <row r="172" spans="1:149" x14ac:dyDescent="0.3">
      <c r="A172" s="2" t="s">
        <v>62</v>
      </c>
      <c r="B172">
        <v>43000</v>
      </c>
      <c r="D172" s="2" t="s">
        <v>95</v>
      </c>
      <c r="E172">
        <v>74000</v>
      </c>
      <c r="G172" s="2" t="s">
        <v>95</v>
      </c>
      <c r="H172">
        <v>74000</v>
      </c>
      <c r="I172">
        <v>5.4658256000000002E-2</v>
      </c>
      <c r="M172" s="2" t="s">
        <v>127</v>
      </c>
      <c r="N172">
        <v>10000</v>
      </c>
      <c r="Q172" s="2" t="s">
        <v>51</v>
      </c>
      <c r="R172">
        <v>0.83796591820164124</v>
      </c>
      <c r="T172" s="2" t="s">
        <v>77</v>
      </c>
      <c r="U172">
        <v>0.11955890299999999</v>
      </c>
      <c r="W172" s="2" t="s">
        <v>27</v>
      </c>
      <c r="X172">
        <v>0.59420764999999998</v>
      </c>
      <c r="Y172">
        <v>54000</v>
      </c>
      <c r="AA172" s="2" t="s">
        <v>27</v>
      </c>
      <c r="AB172">
        <v>0.59420764999999998</v>
      </c>
      <c r="AD172" s="2" t="s">
        <v>167</v>
      </c>
      <c r="AN172">
        <v>0.64498676744890082</v>
      </c>
      <c r="BD172">
        <v>38000</v>
      </c>
      <c r="BT172">
        <v>0.96895368299999995</v>
      </c>
      <c r="CJ172">
        <v>0.71564153277376696</v>
      </c>
      <c r="CZ172">
        <v>20000</v>
      </c>
      <c r="DP172">
        <v>43000</v>
      </c>
      <c r="EF172">
        <v>7.8175778000000001E-2</v>
      </c>
      <c r="EM172">
        <v>0.64498676744890082</v>
      </c>
      <c r="EN172">
        <v>38000</v>
      </c>
      <c r="EO172">
        <v>0.96895368299999995</v>
      </c>
      <c r="EP172">
        <v>0.71564153277376696</v>
      </c>
      <c r="EQ172">
        <v>20000</v>
      </c>
      <c r="ER172">
        <v>43000</v>
      </c>
      <c r="ES172">
        <v>7.8175778000000001E-2</v>
      </c>
    </row>
    <row r="173" spans="1:149" x14ac:dyDescent="0.3">
      <c r="A173" s="2" t="s">
        <v>71</v>
      </c>
      <c r="B173">
        <v>42600</v>
      </c>
      <c r="D173" s="2" t="s">
        <v>73</v>
      </c>
      <c r="E173">
        <v>75000</v>
      </c>
      <c r="G173" s="2" t="s">
        <v>73</v>
      </c>
      <c r="H173">
        <v>75000</v>
      </c>
      <c r="I173">
        <v>4.7688237000000001E-2</v>
      </c>
      <c r="M173" s="2" t="s">
        <v>91</v>
      </c>
      <c r="N173">
        <v>10000</v>
      </c>
      <c r="Q173" s="2" t="s">
        <v>54</v>
      </c>
      <c r="R173">
        <v>0.85126808444882274</v>
      </c>
      <c r="T173" s="2" t="s">
        <v>90</v>
      </c>
      <c r="U173">
        <v>0.107313196</v>
      </c>
      <c r="W173" s="2" t="s">
        <v>28</v>
      </c>
      <c r="X173">
        <v>0.58971190200000001</v>
      </c>
      <c r="Y173">
        <v>63000</v>
      </c>
      <c r="AA173" s="2" t="s">
        <v>28</v>
      </c>
      <c r="AB173">
        <v>0.58971190200000001</v>
      </c>
      <c r="AD173" s="2" t="s">
        <v>29</v>
      </c>
      <c r="AE173">
        <v>0.79994333370289616</v>
      </c>
      <c r="AU173">
        <v>42000</v>
      </c>
      <c r="BK173">
        <v>0.91093257000000005</v>
      </c>
      <c r="CA173">
        <v>0.78394769625974181</v>
      </c>
      <c r="CQ173">
        <v>22300</v>
      </c>
      <c r="DG173">
        <v>46000</v>
      </c>
      <c r="DW173">
        <v>4.2678899999999999E-2</v>
      </c>
      <c r="EM173">
        <v>0.79994333370289616</v>
      </c>
      <c r="EN173">
        <v>42000</v>
      </c>
      <c r="EO173">
        <v>0.91093257000000005</v>
      </c>
      <c r="EP173">
        <v>0.78394769625974181</v>
      </c>
      <c r="EQ173">
        <v>22300</v>
      </c>
      <c r="ER173">
        <v>46000</v>
      </c>
      <c r="ES173">
        <v>4.2678899999999999E-2</v>
      </c>
    </row>
    <row r="174" spans="1:149" x14ac:dyDescent="0.3">
      <c r="A174" s="2" t="s">
        <v>179</v>
      </c>
      <c r="B174">
        <v>42000</v>
      </c>
      <c r="D174" s="2" t="s">
        <v>85</v>
      </c>
      <c r="E174">
        <v>75000</v>
      </c>
      <c r="G174" s="2" t="s">
        <v>85</v>
      </c>
      <c r="H174">
        <v>75000</v>
      </c>
      <c r="I174">
        <v>5.1493382999999997E-2</v>
      </c>
      <c r="M174" s="2" t="s">
        <v>174</v>
      </c>
      <c r="N174">
        <v>10000</v>
      </c>
      <c r="Q174" s="2" t="s">
        <v>52</v>
      </c>
      <c r="R174">
        <v>0.85332562174667437</v>
      </c>
      <c r="T174" s="2" t="s">
        <v>89</v>
      </c>
      <c r="U174">
        <v>0.10185185200000001</v>
      </c>
      <c r="W174" s="2" t="s">
        <v>74</v>
      </c>
      <c r="X174">
        <v>0.19645025599999999</v>
      </c>
      <c r="Y174">
        <v>80000</v>
      </c>
      <c r="AA174" s="2" t="s">
        <v>74</v>
      </c>
      <c r="AB174">
        <v>0.19645025599999999</v>
      </c>
      <c r="AD174" s="2" t="s">
        <v>27</v>
      </c>
      <c r="AE174">
        <v>0.83575099199895919</v>
      </c>
      <c r="AU174">
        <v>44000</v>
      </c>
      <c r="BK174">
        <v>0.59420764999999998</v>
      </c>
      <c r="CA174">
        <v>0.80633824979543878</v>
      </c>
      <c r="CQ174">
        <v>12000</v>
      </c>
      <c r="DG174">
        <v>54000</v>
      </c>
      <c r="DW174">
        <v>2.8636058999999998E-2</v>
      </c>
      <c r="EM174">
        <v>0.83575099199895919</v>
      </c>
      <c r="EN174">
        <v>44000</v>
      </c>
      <c r="EO174">
        <v>0.59420764999999998</v>
      </c>
      <c r="EP174">
        <v>0.80633824979543878</v>
      </c>
      <c r="EQ174">
        <v>12000</v>
      </c>
      <c r="ER174">
        <v>54000</v>
      </c>
      <c r="ES174">
        <v>2.8636058999999998E-2</v>
      </c>
    </row>
    <row r="175" spans="1:149" x14ac:dyDescent="0.3">
      <c r="A175" s="2" t="s">
        <v>67</v>
      </c>
      <c r="B175">
        <v>42000</v>
      </c>
      <c r="D175" s="2" t="s">
        <v>149</v>
      </c>
      <c r="E175">
        <v>75000</v>
      </c>
      <c r="G175" s="2" t="s">
        <v>149</v>
      </c>
      <c r="H175">
        <v>75000</v>
      </c>
      <c r="I175">
        <v>2.2333333E-2</v>
      </c>
      <c r="M175" s="2" t="s">
        <v>83</v>
      </c>
      <c r="N175">
        <v>9100</v>
      </c>
      <c r="Q175" s="2" t="s">
        <v>174</v>
      </c>
      <c r="R175">
        <v>0.85607389599982675</v>
      </c>
      <c r="T175" s="2" t="s">
        <v>94</v>
      </c>
      <c r="U175">
        <v>9.0712508999999997E-2</v>
      </c>
      <c r="W175" s="2" t="s">
        <v>46</v>
      </c>
      <c r="X175">
        <v>0.67314339199999995</v>
      </c>
      <c r="Y175">
        <v>50000</v>
      </c>
      <c r="AA175" s="2" t="s">
        <v>46</v>
      </c>
      <c r="AB175">
        <v>0.67314339199999995</v>
      </c>
      <c r="AD175" s="2" t="s">
        <v>28</v>
      </c>
      <c r="AE175">
        <v>0.86660841153451618</v>
      </c>
      <c r="AU175">
        <v>58000</v>
      </c>
      <c r="BK175">
        <v>0.58971190200000001</v>
      </c>
      <c r="CA175">
        <v>0.77517302311883374</v>
      </c>
      <c r="CQ175">
        <v>17000</v>
      </c>
      <c r="DG175">
        <v>63000</v>
      </c>
      <c r="DW175">
        <v>3.0248324E-2</v>
      </c>
      <c r="EM175">
        <v>0.86660841153451618</v>
      </c>
      <c r="EN175">
        <v>58000</v>
      </c>
      <c r="EO175">
        <v>0.58971190200000001</v>
      </c>
      <c r="EP175">
        <v>0.77517302311883374</v>
      </c>
      <c r="EQ175">
        <v>17000</v>
      </c>
      <c r="ER175">
        <v>63000</v>
      </c>
      <c r="ES175">
        <v>3.0248324E-2</v>
      </c>
    </row>
    <row r="176" spans="1:149" x14ac:dyDescent="0.3">
      <c r="A176" s="2" t="s">
        <v>188</v>
      </c>
      <c r="B176">
        <v>42000</v>
      </c>
      <c r="D176" s="2" t="s">
        <v>79</v>
      </c>
      <c r="E176">
        <v>78000</v>
      </c>
      <c r="G176" s="2" t="s">
        <v>79</v>
      </c>
      <c r="H176">
        <v>78000</v>
      </c>
      <c r="I176">
        <v>5.3386588999999998E-2</v>
      </c>
      <c r="M176" s="2" t="s">
        <v>30</v>
      </c>
      <c r="N176">
        <v>9000</v>
      </c>
      <c r="Q176" s="2" t="s">
        <v>210</v>
      </c>
      <c r="R176">
        <v>0.85833551409623865</v>
      </c>
      <c r="T176" s="2" t="s">
        <v>115</v>
      </c>
      <c r="U176">
        <v>7.7453026999999994E-2</v>
      </c>
      <c r="W176" s="2" t="s">
        <v>201</v>
      </c>
      <c r="X176">
        <v>0.53571428600000004</v>
      </c>
      <c r="Y176">
        <v>72000</v>
      </c>
      <c r="AA176" s="2" t="s">
        <v>201</v>
      </c>
      <c r="AB176">
        <v>0.53571428600000004</v>
      </c>
      <c r="AD176" s="2" t="s">
        <v>74</v>
      </c>
      <c r="AL176">
        <v>0.85642132431470275</v>
      </c>
      <c r="BB176">
        <v>52000</v>
      </c>
      <c r="BR176">
        <v>0.19645025599999999</v>
      </c>
      <c r="CH176">
        <v>0.68372531718745244</v>
      </c>
      <c r="CX176">
        <v>22000</v>
      </c>
      <c r="DN176">
        <v>80000</v>
      </c>
      <c r="ED176">
        <v>4.1971308999999998E-2</v>
      </c>
      <c r="EM176">
        <v>0.85642132431470275</v>
      </c>
      <c r="EN176">
        <v>52000</v>
      </c>
      <c r="EO176">
        <v>0.19645025599999999</v>
      </c>
      <c r="EP176">
        <v>0.68372531718745244</v>
      </c>
      <c r="EQ176">
        <v>22000</v>
      </c>
      <c r="ER176">
        <v>80000</v>
      </c>
      <c r="ES176">
        <v>4.1971308999999998E-2</v>
      </c>
    </row>
    <row r="177" spans="1:149" x14ac:dyDescent="0.3">
      <c r="A177" s="2" t="s">
        <v>70</v>
      </c>
      <c r="B177">
        <v>42000</v>
      </c>
      <c r="D177" s="2" t="s">
        <v>51</v>
      </c>
      <c r="E177">
        <v>78000</v>
      </c>
      <c r="G177" s="2" t="s">
        <v>51</v>
      </c>
      <c r="H177">
        <v>78000</v>
      </c>
      <c r="I177">
        <v>4.9518657000000001E-2</v>
      </c>
      <c r="M177" s="2" t="s">
        <v>94</v>
      </c>
      <c r="N177">
        <v>9000</v>
      </c>
      <c r="Q177" s="2" t="s">
        <v>49</v>
      </c>
      <c r="R177">
        <v>0.85998218943817928</v>
      </c>
      <c r="T177" s="2" t="s">
        <v>99</v>
      </c>
      <c r="U177">
        <v>0</v>
      </c>
      <c r="W177" s="2" t="s">
        <v>200</v>
      </c>
      <c r="X177">
        <v>0.25358330200000001</v>
      </c>
      <c r="Y177">
        <v>65000</v>
      </c>
      <c r="AA177" s="2" t="s">
        <v>200</v>
      </c>
      <c r="AB177">
        <v>0.25358330200000001</v>
      </c>
      <c r="AD177" s="2" t="s">
        <v>46</v>
      </c>
      <c r="AI177">
        <v>0.75662843461097584</v>
      </c>
      <c r="AY177">
        <v>41000</v>
      </c>
      <c r="BO177">
        <v>0.67314339199999995</v>
      </c>
      <c r="CE177">
        <v>0.78913337865106592</v>
      </c>
      <c r="CU177">
        <v>9000</v>
      </c>
      <c r="DK177">
        <v>50000</v>
      </c>
      <c r="EA177">
        <v>6.7216257000000001E-2</v>
      </c>
      <c r="EM177">
        <v>0.75662843461097584</v>
      </c>
      <c r="EN177">
        <v>41000</v>
      </c>
      <c r="EO177">
        <v>0.67314339199999995</v>
      </c>
      <c r="EP177">
        <v>0.78913337865106592</v>
      </c>
      <c r="EQ177">
        <v>9000</v>
      </c>
      <c r="ER177">
        <v>50000</v>
      </c>
      <c r="ES177">
        <v>6.7216257000000001E-2</v>
      </c>
    </row>
    <row r="178" spans="1:149" x14ac:dyDescent="0.3">
      <c r="A178" s="2" t="s">
        <v>60</v>
      </c>
      <c r="B178">
        <v>41000</v>
      </c>
      <c r="D178" s="2" t="s">
        <v>76</v>
      </c>
      <c r="E178">
        <v>78000</v>
      </c>
      <c r="G178" s="2" t="s">
        <v>76</v>
      </c>
      <c r="H178">
        <v>78000</v>
      </c>
      <c r="I178">
        <v>6.9042770000000003E-2</v>
      </c>
      <c r="M178" s="2" t="s">
        <v>186</v>
      </c>
      <c r="N178">
        <v>9000</v>
      </c>
      <c r="Q178" s="2" t="s">
        <v>215</v>
      </c>
      <c r="R178">
        <v>0.72411086273712633</v>
      </c>
      <c r="T178" s="2" t="s">
        <v>215</v>
      </c>
      <c r="U178">
        <v>0.52255020295375743</v>
      </c>
      <c r="W178" s="2" t="s">
        <v>215</v>
      </c>
      <c r="X178">
        <v>0.5225502029537572</v>
      </c>
      <c r="Y178">
        <v>56816.184971098264</v>
      </c>
      <c r="AA178" s="2" t="s">
        <v>215</v>
      </c>
      <c r="AB178">
        <v>0.5225502029537572</v>
      </c>
      <c r="AD178" s="2" t="s">
        <v>201</v>
      </c>
      <c r="AH178">
        <v>0.87687993882232984</v>
      </c>
      <c r="AX178">
        <v>62000</v>
      </c>
      <c r="BN178">
        <v>0.53571428600000004</v>
      </c>
      <c r="CD178">
        <v>0.80364642015773835</v>
      </c>
      <c r="CT178">
        <v>34000</v>
      </c>
      <c r="DJ178">
        <v>72000</v>
      </c>
      <c r="DZ178">
        <v>5.6063522999999997E-2</v>
      </c>
      <c r="EM178">
        <v>0.87687993882232984</v>
      </c>
      <c r="EN178">
        <v>62000</v>
      </c>
      <c r="EO178">
        <v>0.53571428600000004</v>
      </c>
      <c r="EP178">
        <v>0.80364642015773835</v>
      </c>
      <c r="EQ178">
        <v>34000</v>
      </c>
      <c r="ER178">
        <v>72000</v>
      </c>
      <c r="ES178">
        <v>5.6063522999999997E-2</v>
      </c>
    </row>
    <row r="179" spans="1:149" x14ac:dyDescent="0.3">
      <c r="A179" s="2" t="s">
        <v>103</v>
      </c>
      <c r="B179">
        <v>40500</v>
      </c>
      <c r="D179" s="2" t="s">
        <v>86</v>
      </c>
      <c r="E179">
        <v>78000</v>
      </c>
      <c r="G179" s="2" t="s">
        <v>86</v>
      </c>
      <c r="H179">
        <v>78000</v>
      </c>
      <c r="I179">
        <v>5.9731114000000002E-2</v>
      </c>
      <c r="M179" s="2" t="s">
        <v>46</v>
      </c>
      <c r="N179">
        <v>9000</v>
      </c>
      <c r="AD179" s="2" t="s">
        <v>200</v>
      </c>
      <c r="AH179">
        <v>0.81973836393240129</v>
      </c>
      <c r="AX179">
        <v>57500</v>
      </c>
      <c r="BN179">
        <v>0.25358330200000001</v>
      </c>
      <c r="CD179">
        <v>0.7507929040775756</v>
      </c>
      <c r="CT179">
        <v>23000</v>
      </c>
      <c r="DJ179">
        <v>65000</v>
      </c>
      <c r="DZ179">
        <v>5.3414673000000003E-2</v>
      </c>
      <c r="EM179">
        <v>0.81973836393240129</v>
      </c>
      <c r="EN179">
        <v>57500</v>
      </c>
      <c r="EO179">
        <v>0.25358330200000001</v>
      </c>
      <c r="EP179">
        <v>0.7507929040775756</v>
      </c>
      <c r="EQ179">
        <v>23000</v>
      </c>
      <c r="ER179">
        <v>65000</v>
      </c>
      <c r="ES179">
        <v>5.3414673000000003E-2</v>
      </c>
    </row>
    <row r="180" spans="1:149" x14ac:dyDescent="0.3">
      <c r="A180" s="2" t="s">
        <v>154</v>
      </c>
      <c r="B180">
        <v>40000</v>
      </c>
      <c r="D180" s="2" t="s">
        <v>87</v>
      </c>
      <c r="E180">
        <v>80000</v>
      </c>
      <c r="G180" s="2" t="s">
        <v>87</v>
      </c>
      <c r="H180">
        <v>80000</v>
      </c>
      <c r="I180">
        <v>4.3843856E-2</v>
      </c>
      <c r="M180" s="2" t="s">
        <v>139</v>
      </c>
      <c r="N180">
        <v>8000</v>
      </c>
      <c r="AD180" s="2" t="s">
        <v>215</v>
      </c>
      <c r="AE180">
        <v>0.80725758606828912</v>
      </c>
      <c r="AF180">
        <v>0.62576020056649795</v>
      </c>
      <c r="AG180">
        <v>0.70175879800657892</v>
      </c>
      <c r="AH180">
        <v>0.82194265863404981</v>
      </c>
      <c r="AI180">
        <v>0.74871056966300342</v>
      </c>
      <c r="AJ180">
        <v>0.82044815532810411</v>
      </c>
      <c r="AK180">
        <v>0.66756012982505863</v>
      </c>
      <c r="AL180">
        <v>0.83226010851147492</v>
      </c>
      <c r="AM180">
        <v>0.66827343058268873</v>
      </c>
      <c r="AN180">
        <v>0.6761176485097572</v>
      </c>
      <c r="AO180">
        <v>0.80943154502094961</v>
      </c>
      <c r="AP180">
        <v>0.72923318209824683</v>
      </c>
      <c r="AQ180">
        <v>0.80114143417321793</v>
      </c>
      <c r="AR180">
        <v>0.78590913939032991</v>
      </c>
      <c r="AS180">
        <v>0.69782433021704815</v>
      </c>
      <c r="AT180">
        <v>0.75878819526687991</v>
      </c>
      <c r="AU180">
        <v>44750</v>
      </c>
      <c r="AV180">
        <v>35387.5</v>
      </c>
      <c r="AW180">
        <v>45557.142857142855</v>
      </c>
      <c r="AX180">
        <v>49607.692307692305</v>
      </c>
      <c r="AY180">
        <v>42250</v>
      </c>
      <c r="AZ180">
        <v>52390.909090909088</v>
      </c>
      <c r="BA180">
        <v>25234.375</v>
      </c>
      <c r="BB180">
        <v>56075.862068965514</v>
      </c>
      <c r="BC180">
        <v>37433.333333333336</v>
      </c>
      <c r="BD180">
        <v>39520</v>
      </c>
      <c r="BE180">
        <v>41792.857142857145</v>
      </c>
      <c r="BF180">
        <v>23000</v>
      </c>
      <c r="BG180">
        <v>42600</v>
      </c>
      <c r="BH180">
        <v>52330</v>
      </c>
      <c r="BI180">
        <v>33322.222222222219</v>
      </c>
      <c r="BJ180">
        <v>44077.777777777781</v>
      </c>
      <c r="BK180">
        <v>0.61793842319999992</v>
      </c>
      <c r="BL180">
        <v>0.56185119575000009</v>
      </c>
      <c r="BM180">
        <v>0.58451847585714289</v>
      </c>
      <c r="BN180">
        <v>0.40506318530769225</v>
      </c>
      <c r="BO180">
        <v>0.64383484025000004</v>
      </c>
      <c r="BP180">
        <v>0.51275199545454553</v>
      </c>
      <c r="BQ180">
        <v>0.67498551631250003</v>
      </c>
      <c r="BR180">
        <v>0.25715789510344822</v>
      </c>
      <c r="BS180">
        <v>0.61685656941666667</v>
      </c>
      <c r="BT180">
        <v>0.67619340419999996</v>
      </c>
      <c r="BU180">
        <v>0.44935126885714283</v>
      </c>
      <c r="BV180">
        <v>0.49539715299999998</v>
      </c>
      <c r="BW180">
        <v>0.3359896912</v>
      </c>
      <c r="BX180">
        <v>0.50874941970000009</v>
      </c>
      <c r="BY180">
        <v>0.7777631628888888</v>
      </c>
      <c r="BZ180">
        <v>0.53906729577777779</v>
      </c>
      <c r="CA180">
        <v>0.75580482521049475</v>
      </c>
      <c r="CB180">
        <v>0.74159819058003007</v>
      </c>
      <c r="CC180">
        <v>0.71976776902907802</v>
      </c>
      <c r="CD180">
        <v>0.78614919650763215</v>
      </c>
      <c r="CE180">
        <v>0.78721782270194374</v>
      </c>
      <c r="CF180">
        <v>0.80169452277062769</v>
      </c>
      <c r="CG180">
        <v>0.63454027824887205</v>
      </c>
      <c r="CH180">
        <v>0.72775085548118834</v>
      </c>
      <c r="CI180">
        <v>0.72057969376998765</v>
      </c>
      <c r="CJ180">
        <v>0.67902508247710358</v>
      </c>
      <c r="CK180">
        <v>0.71832789228229343</v>
      </c>
      <c r="CL180">
        <v>0.78997322949622784</v>
      </c>
      <c r="CM180">
        <v>0.75430245803927876</v>
      </c>
      <c r="CN180">
        <v>0.7172475701569837</v>
      </c>
      <c r="CO180">
        <v>0.68891906804207059</v>
      </c>
      <c r="CP180">
        <v>0.718207356837407</v>
      </c>
      <c r="CQ180">
        <v>13030</v>
      </c>
      <c r="CR180">
        <v>11618.75</v>
      </c>
      <c r="CS180">
        <v>29450</v>
      </c>
      <c r="CT180">
        <v>21384.615384615383</v>
      </c>
      <c r="CU180">
        <v>11500</v>
      </c>
      <c r="CV180">
        <v>16818.18181818182</v>
      </c>
      <c r="CW180">
        <v>13675</v>
      </c>
      <c r="CX180">
        <v>14400</v>
      </c>
      <c r="CY180">
        <v>22458.333333333332</v>
      </c>
      <c r="CZ180">
        <v>19633.333333333332</v>
      </c>
      <c r="DA180">
        <v>12771.428571428571</v>
      </c>
      <c r="DB180">
        <v>11000</v>
      </c>
      <c r="DC180">
        <v>22000</v>
      </c>
      <c r="DD180">
        <v>24200</v>
      </c>
      <c r="DE180">
        <v>16933.333333333332</v>
      </c>
      <c r="DF180">
        <v>21555.555555555555</v>
      </c>
      <c r="DG180">
        <v>55000</v>
      </c>
      <c r="DH180">
        <v>43525</v>
      </c>
      <c r="DI180">
        <v>50821.428571428572</v>
      </c>
      <c r="DJ180">
        <v>60615.384615384617</v>
      </c>
      <c r="DK180">
        <v>49500</v>
      </c>
      <c r="DL180">
        <v>66272.727272727279</v>
      </c>
      <c r="DM180">
        <v>43831.25</v>
      </c>
      <c r="DN180">
        <v>77758.620689655174</v>
      </c>
      <c r="DO180">
        <v>56458.333333333336</v>
      </c>
      <c r="DP180">
        <v>46080</v>
      </c>
      <c r="DQ180">
        <v>52642.857142857145</v>
      </c>
      <c r="DR180">
        <v>43000</v>
      </c>
      <c r="DS180">
        <v>52800</v>
      </c>
      <c r="DT180">
        <v>62400</v>
      </c>
      <c r="DU180">
        <v>44555.555555555555</v>
      </c>
      <c r="DV180">
        <v>53222.222222222219</v>
      </c>
      <c r="DW180">
        <v>3.9569180400000001E-2</v>
      </c>
      <c r="DX180">
        <v>8.7600517124999999E-2</v>
      </c>
      <c r="DY180">
        <v>4.993596849999999E-2</v>
      </c>
      <c r="DZ180">
        <v>5.4496015307692311E-2</v>
      </c>
      <c r="EA180">
        <v>6.9124520750000001E-2</v>
      </c>
      <c r="EB180">
        <v>5.9436983818181827E-2</v>
      </c>
      <c r="EC180">
        <v>4.6761964062500001E-2</v>
      </c>
      <c r="ED180">
        <v>5.0630022965517239E-2</v>
      </c>
      <c r="EE180">
        <v>4.7209279E-2</v>
      </c>
      <c r="EF180">
        <v>6.9428707399999998E-2</v>
      </c>
      <c r="EG180">
        <v>5.8545672285714286E-2</v>
      </c>
      <c r="EH180">
        <v>7.7268967999999993E-2</v>
      </c>
      <c r="EI180">
        <v>6.7853562200000009E-2</v>
      </c>
      <c r="EJ180">
        <v>5.4540616900000005E-2</v>
      </c>
      <c r="EK180">
        <v>7.7867016555555557E-2</v>
      </c>
      <c r="EL180">
        <v>6.5685662333333325E-2</v>
      </c>
      <c r="EM180">
        <v>0.75118741963498747</v>
      </c>
      <c r="EN180">
        <v>43809.248554913298</v>
      </c>
      <c r="EO180">
        <v>0.5225502029537572</v>
      </c>
      <c r="EP180">
        <v>0.72411086273712633</v>
      </c>
      <c r="EQ180">
        <v>18171.965317919075</v>
      </c>
      <c r="ER180">
        <v>56816.184971098264</v>
      </c>
      <c r="ES180">
        <v>5.7355453283236983E-2</v>
      </c>
    </row>
    <row r="181" spans="1:149" x14ac:dyDescent="0.3">
      <c r="A181" s="2" t="s">
        <v>69</v>
      </c>
      <c r="B181">
        <v>40000</v>
      </c>
      <c r="D181" s="2" t="s">
        <v>74</v>
      </c>
      <c r="E181">
        <v>80000</v>
      </c>
      <c r="G181" s="2" t="s">
        <v>74</v>
      </c>
      <c r="H181">
        <v>80000</v>
      </c>
      <c r="I181">
        <v>4.1971308999999998E-2</v>
      </c>
      <c r="M181" s="2" t="s">
        <v>38</v>
      </c>
      <c r="N181">
        <v>8000</v>
      </c>
    </row>
    <row r="182" spans="1:149" x14ac:dyDescent="0.3">
      <c r="A182" s="2" t="s">
        <v>139</v>
      </c>
      <c r="B182">
        <v>40000</v>
      </c>
      <c r="D182" s="2" t="s">
        <v>142</v>
      </c>
      <c r="E182">
        <v>80000</v>
      </c>
      <c r="G182" s="2" t="s">
        <v>142</v>
      </c>
      <c r="H182">
        <v>80000</v>
      </c>
      <c r="I182">
        <v>8.6021504999999998E-2</v>
      </c>
      <c r="M182" s="2" t="s">
        <v>195</v>
      </c>
      <c r="N182">
        <v>7000</v>
      </c>
    </row>
    <row r="183" spans="1:149" x14ac:dyDescent="0.3">
      <c r="A183" s="2" t="s">
        <v>164</v>
      </c>
      <c r="B183">
        <v>40000</v>
      </c>
      <c r="D183" s="2" t="s">
        <v>80</v>
      </c>
      <c r="E183">
        <v>80000</v>
      </c>
      <c r="G183" s="2" t="s">
        <v>80</v>
      </c>
      <c r="H183">
        <v>80000</v>
      </c>
      <c r="I183">
        <v>5.4743829000000001E-2</v>
      </c>
      <c r="M183" s="2" t="s">
        <v>59</v>
      </c>
      <c r="N183">
        <v>7000</v>
      </c>
    </row>
    <row r="184" spans="1:149" x14ac:dyDescent="0.3">
      <c r="A184" s="2" t="s">
        <v>111</v>
      </c>
      <c r="B184">
        <v>40000</v>
      </c>
      <c r="D184" s="2" t="s">
        <v>84</v>
      </c>
      <c r="E184">
        <v>85000</v>
      </c>
      <c r="G184" s="2" t="s">
        <v>84</v>
      </c>
      <c r="H184">
        <v>85000</v>
      </c>
      <c r="I184">
        <v>0</v>
      </c>
      <c r="M184" s="2" t="s">
        <v>183</v>
      </c>
      <c r="N184">
        <v>7000</v>
      </c>
    </row>
    <row r="185" spans="1:149" x14ac:dyDescent="0.3">
      <c r="A185" s="2" t="s">
        <v>61</v>
      </c>
      <c r="B185">
        <v>40000</v>
      </c>
      <c r="D185" s="2" t="s">
        <v>78</v>
      </c>
      <c r="E185">
        <v>86000</v>
      </c>
      <c r="G185" s="2" t="s">
        <v>78</v>
      </c>
      <c r="H185">
        <v>86000</v>
      </c>
      <c r="I185">
        <v>4.6261361000000001E-2</v>
      </c>
      <c r="M185" s="2" t="s">
        <v>45</v>
      </c>
      <c r="N185">
        <v>7000</v>
      </c>
    </row>
    <row r="186" spans="1:149" x14ac:dyDescent="0.3">
      <c r="A186" s="2" t="s">
        <v>181</v>
      </c>
      <c r="B186">
        <v>40000</v>
      </c>
      <c r="D186" s="2" t="s">
        <v>81</v>
      </c>
      <c r="E186">
        <v>88000</v>
      </c>
      <c r="G186" s="2" t="s">
        <v>81</v>
      </c>
      <c r="H186">
        <v>88000</v>
      </c>
      <c r="I186">
        <v>5.0508788999999998E-2</v>
      </c>
      <c r="M186" s="2" t="s">
        <v>133</v>
      </c>
      <c r="N186">
        <v>6000</v>
      </c>
    </row>
    <row r="187" spans="1:149" x14ac:dyDescent="0.3">
      <c r="A187" s="2" t="s">
        <v>55</v>
      </c>
      <c r="B187">
        <v>40000</v>
      </c>
      <c r="D187" s="2" t="s">
        <v>89</v>
      </c>
      <c r="E187">
        <v>92000</v>
      </c>
      <c r="G187" s="2" t="s">
        <v>89</v>
      </c>
      <c r="H187">
        <v>92000</v>
      </c>
      <c r="I187">
        <v>4.7031611000000001E-2</v>
      </c>
      <c r="M187" s="2" t="s">
        <v>55</v>
      </c>
      <c r="N187">
        <v>5400</v>
      </c>
    </row>
    <row r="188" spans="1:149" x14ac:dyDescent="0.3">
      <c r="A188" s="2" t="s">
        <v>108</v>
      </c>
      <c r="B188">
        <v>40000</v>
      </c>
      <c r="D188" s="2" t="s">
        <v>133</v>
      </c>
      <c r="E188">
        <v>92000</v>
      </c>
      <c r="G188" s="2" t="s">
        <v>133</v>
      </c>
      <c r="H188">
        <v>92000</v>
      </c>
      <c r="I188">
        <v>2.4900398000000001E-2</v>
      </c>
      <c r="M188" s="2" t="s">
        <v>47</v>
      </c>
      <c r="N188">
        <v>5000</v>
      </c>
    </row>
    <row r="189" spans="1:149" x14ac:dyDescent="0.3">
      <c r="A189" s="2" t="s">
        <v>156</v>
      </c>
      <c r="B189">
        <v>39000</v>
      </c>
      <c r="D189" s="2" t="s">
        <v>91</v>
      </c>
      <c r="E189">
        <v>95000</v>
      </c>
      <c r="G189" s="2" t="s">
        <v>91</v>
      </c>
      <c r="H189">
        <v>95000</v>
      </c>
      <c r="I189">
        <v>6.7159423999999995E-2</v>
      </c>
      <c r="M189" s="2" t="s">
        <v>89</v>
      </c>
      <c r="N189">
        <v>5000</v>
      </c>
    </row>
    <row r="190" spans="1:149" x14ac:dyDescent="0.3">
      <c r="A190" s="2" t="s">
        <v>163</v>
      </c>
      <c r="B190">
        <v>38000</v>
      </c>
      <c r="D190" s="2" t="s">
        <v>88</v>
      </c>
      <c r="E190">
        <v>96000</v>
      </c>
      <c r="G190" s="2" t="s">
        <v>88</v>
      </c>
      <c r="H190">
        <v>96000</v>
      </c>
      <c r="I190">
        <v>4.4872677E-2</v>
      </c>
      <c r="M190" s="2" t="s">
        <v>194</v>
      </c>
      <c r="N190">
        <v>4000</v>
      </c>
    </row>
    <row r="191" spans="1:149" x14ac:dyDescent="0.3">
      <c r="A191" s="2" t="s">
        <v>185</v>
      </c>
      <c r="B191">
        <v>37600</v>
      </c>
      <c r="D191" s="2" t="s">
        <v>90</v>
      </c>
      <c r="E191">
        <v>97000</v>
      </c>
      <c r="G191" s="2" t="s">
        <v>90</v>
      </c>
      <c r="H191">
        <v>97000</v>
      </c>
      <c r="I191">
        <v>4.0308825E-2</v>
      </c>
      <c r="M191" s="2" t="s">
        <v>90</v>
      </c>
      <c r="N191">
        <v>2000</v>
      </c>
    </row>
    <row r="192" spans="1:149" x14ac:dyDescent="0.3">
      <c r="A192" s="2" t="s">
        <v>64</v>
      </c>
      <c r="B192">
        <v>35300</v>
      </c>
      <c r="D192" s="2" t="s">
        <v>194</v>
      </c>
      <c r="E192">
        <v>106000</v>
      </c>
      <c r="G192" s="2" t="s">
        <v>194</v>
      </c>
      <c r="H192">
        <v>106000</v>
      </c>
      <c r="I192">
        <v>3.4357681000000001E-2</v>
      </c>
      <c r="M192" s="2" t="s">
        <v>88</v>
      </c>
      <c r="N192">
        <v>2000</v>
      </c>
    </row>
    <row r="193" spans="1:14" x14ac:dyDescent="0.3">
      <c r="A193" s="2" t="s">
        <v>122</v>
      </c>
      <c r="B193">
        <v>35000</v>
      </c>
      <c r="D193" s="2" t="s">
        <v>92</v>
      </c>
      <c r="E193">
        <v>125000</v>
      </c>
      <c r="G193" s="2" t="s">
        <v>92</v>
      </c>
      <c r="H193">
        <v>125000</v>
      </c>
      <c r="I193">
        <v>4.2205349000000003E-2</v>
      </c>
      <c r="M193" s="2" t="s">
        <v>32</v>
      </c>
      <c r="N193">
        <v>0</v>
      </c>
    </row>
    <row r="194" spans="1:14" x14ac:dyDescent="0.3">
      <c r="A194" s="2" t="s">
        <v>215</v>
      </c>
      <c r="B194">
        <v>56816.184971098264</v>
      </c>
      <c r="D194" s="2" t="s">
        <v>215</v>
      </c>
      <c r="E194">
        <v>56816.184971098264</v>
      </c>
      <c r="G194" s="2" t="s">
        <v>215</v>
      </c>
      <c r="H194">
        <v>56816.184971098264</v>
      </c>
      <c r="I194">
        <v>5.7355453283236997E-2</v>
      </c>
      <c r="J194" s="1" t="s">
        <v>2</v>
      </c>
      <c r="K194" t="s">
        <v>231</v>
      </c>
      <c r="M194" s="2" t="s">
        <v>33</v>
      </c>
      <c r="N194">
        <v>-1000</v>
      </c>
    </row>
    <row r="195" spans="1:14" x14ac:dyDescent="0.3">
      <c r="M195" s="2" t="s">
        <v>76</v>
      </c>
      <c r="N195">
        <v>-2000</v>
      </c>
    </row>
    <row r="196" spans="1:14" x14ac:dyDescent="0.3">
      <c r="A196" s="1" t="s">
        <v>2</v>
      </c>
      <c r="B196" t="s">
        <v>216</v>
      </c>
      <c r="D196" s="1" t="s">
        <v>2</v>
      </c>
      <c r="E196" t="s">
        <v>216</v>
      </c>
      <c r="G196" s="1" t="s">
        <v>2</v>
      </c>
      <c r="H196" t="s">
        <v>217</v>
      </c>
      <c r="J196" s="1" t="s">
        <v>2</v>
      </c>
      <c r="K196" t="s">
        <v>216</v>
      </c>
      <c r="L196" t="s">
        <v>217</v>
      </c>
      <c r="M196" s="2" t="s">
        <v>92</v>
      </c>
      <c r="N196">
        <v>-2000</v>
      </c>
    </row>
    <row r="197" spans="1:14" x14ac:dyDescent="0.3">
      <c r="A197" s="2" t="s">
        <v>78</v>
      </c>
      <c r="B197">
        <v>86000</v>
      </c>
      <c r="D197" s="2" t="s">
        <v>108</v>
      </c>
      <c r="E197">
        <v>40000</v>
      </c>
      <c r="G197" s="2">
        <v>35000</v>
      </c>
      <c r="H197">
        <v>6.8897637999999997E-2</v>
      </c>
      <c r="J197" s="2" t="s">
        <v>200</v>
      </c>
      <c r="K197">
        <v>65000</v>
      </c>
      <c r="L197">
        <v>5.3414673000000003E-2</v>
      </c>
      <c r="M197" s="2" t="s">
        <v>215</v>
      </c>
      <c r="N197">
        <v>18171.965317919075</v>
      </c>
    </row>
    <row r="198" spans="1:14" x14ac:dyDescent="0.3">
      <c r="A198" s="2" t="s">
        <v>81</v>
      </c>
      <c r="B198">
        <v>88000</v>
      </c>
      <c r="D198" s="2" t="s">
        <v>55</v>
      </c>
      <c r="E198">
        <v>40000</v>
      </c>
      <c r="G198" s="2">
        <v>35300</v>
      </c>
      <c r="H198">
        <v>4.9350649000000003E-2</v>
      </c>
      <c r="J198" s="2" t="s">
        <v>201</v>
      </c>
      <c r="K198">
        <v>72000</v>
      </c>
      <c r="L198">
        <v>5.6063522999999997E-2</v>
      </c>
    </row>
    <row r="199" spans="1:14" x14ac:dyDescent="0.3">
      <c r="A199" s="2" t="s">
        <v>84</v>
      </c>
      <c r="B199">
        <v>85000</v>
      </c>
      <c r="D199" s="2" t="s">
        <v>156</v>
      </c>
      <c r="E199">
        <v>39000</v>
      </c>
      <c r="G199" s="2">
        <v>37600</v>
      </c>
      <c r="H199">
        <v>8.3713827000000005E-2</v>
      </c>
      <c r="J199" s="2" t="s">
        <v>46</v>
      </c>
      <c r="K199">
        <v>50000</v>
      </c>
      <c r="L199">
        <v>6.7216257000000001E-2</v>
      </c>
    </row>
    <row r="200" spans="1:14" x14ac:dyDescent="0.3">
      <c r="A200" s="2" t="s">
        <v>133</v>
      </c>
      <c r="B200">
        <v>92000</v>
      </c>
      <c r="D200" s="2" t="s">
        <v>64</v>
      </c>
      <c r="E200">
        <v>35300</v>
      </c>
      <c r="G200" s="2">
        <v>38000</v>
      </c>
      <c r="H200">
        <v>7.2421293999999997E-2</v>
      </c>
      <c r="J200" s="2" t="s">
        <v>167</v>
      </c>
      <c r="K200">
        <v>43000</v>
      </c>
      <c r="L200">
        <v>7.8175778000000001E-2</v>
      </c>
    </row>
    <row r="201" spans="1:14" x14ac:dyDescent="0.3">
      <c r="A201" s="2" t="s">
        <v>88</v>
      </c>
      <c r="B201">
        <v>96000</v>
      </c>
      <c r="D201" s="2" t="s">
        <v>154</v>
      </c>
      <c r="E201">
        <v>40000</v>
      </c>
      <c r="G201" s="2">
        <v>39000</v>
      </c>
      <c r="H201">
        <v>6.8021390000000001E-2</v>
      </c>
      <c r="J201" s="2" t="s">
        <v>125</v>
      </c>
      <c r="K201">
        <v>70000</v>
      </c>
      <c r="L201">
        <v>5.5652607999999999E-2</v>
      </c>
    </row>
    <row r="202" spans="1:14" x14ac:dyDescent="0.3">
      <c r="A202" s="2" t="s">
        <v>89</v>
      </c>
      <c r="B202">
        <v>92000</v>
      </c>
      <c r="D202" s="2" t="s">
        <v>61</v>
      </c>
      <c r="E202">
        <v>40000</v>
      </c>
      <c r="G202" s="2">
        <v>40000</v>
      </c>
      <c r="H202">
        <v>6.3031647111111117E-2</v>
      </c>
      <c r="J202" s="2" t="s">
        <v>76</v>
      </c>
      <c r="K202">
        <v>78000</v>
      </c>
      <c r="L202">
        <v>6.9042770000000003E-2</v>
      </c>
    </row>
    <row r="203" spans="1:14" x14ac:dyDescent="0.3">
      <c r="A203" s="2" t="s">
        <v>90</v>
      </c>
      <c r="B203">
        <v>97000</v>
      </c>
      <c r="D203" s="2" t="s">
        <v>163</v>
      </c>
      <c r="E203">
        <v>38000</v>
      </c>
      <c r="G203" s="2">
        <v>40500</v>
      </c>
      <c r="H203">
        <v>5.5784848999999997E-2</v>
      </c>
      <c r="J203" s="2" t="s">
        <v>38</v>
      </c>
      <c r="K203">
        <v>63000</v>
      </c>
      <c r="L203">
        <v>8.5991128999999999E-2</v>
      </c>
    </row>
    <row r="204" spans="1:14" x14ac:dyDescent="0.3">
      <c r="A204" s="2" t="s">
        <v>91</v>
      </c>
      <c r="B204">
        <v>95000</v>
      </c>
      <c r="D204" s="2" t="s">
        <v>111</v>
      </c>
      <c r="E204">
        <v>40000</v>
      </c>
      <c r="G204" s="2">
        <v>41000</v>
      </c>
      <c r="H204">
        <v>0.101745936</v>
      </c>
      <c r="J204" s="2" t="s">
        <v>40</v>
      </c>
      <c r="K204">
        <v>46000</v>
      </c>
      <c r="L204">
        <v>6.7938958999999993E-2</v>
      </c>
    </row>
    <row r="205" spans="1:14" x14ac:dyDescent="0.3">
      <c r="A205" s="2" t="s">
        <v>92</v>
      </c>
      <c r="B205">
        <v>125000</v>
      </c>
      <c r="D205" s="2" t="s">
        <v>122</v>
      </c>
      <c r="E205">
        <v>35000</v>
      </c>
      <c r="G205" s="2">
        <v>42000</v>
      </c>
      <c r="H205">
        <v>5.5491464750000004E-2</v>
      </c>
      <c r="J205" s="2" t="s">
        <v>184</v>
      </c>
      <c r="K205">
        <v>44500</v>
      </c>
      <c r="L205">
        <v>6.3912645000000004E-2</v>
      </c>
    </row>
    <row r="206" spans="1:14" x14ac:dyDescent="0.3">
      <c r="A206" s="2" t="s">
        <v>194</v>
      </c>
      <c r="B206">
        <v>106000</v>
      </c>
      <c r="D206" s="2" t="s">
        <v>164</v>
      </c>
      <c r="E206">
        <v>40000</v>
      </c>
      <c r="G206" s="2">
        <v>42600</v>
      </c>
      <c r="H206">
        <v>4.0973373E-2</v>
      </c>
      <c r="J206" s="2" t="s">
        <v>142</v>
      </c>
      <c r="K206">
        <v>80000</v>
      </c>
      <c r="L206">
        <v>8.6021504999999998E-2</v>
      </c>
    </row>
    <row r="207" spans="1:14" x14ac:dyDescent="0.3">
      <c r="A207" s="2" t="s">
        <v>215</v>
      </c>
      <c r="B207">
        <v>96200</v>
      </c>
      <c r="D207" s="2" t="s">
        <v>185</v>
      </c>
      <c r="E207">
        <v>37600</v>
      </c>
      <c r="G207" s="2">
        <v>43000</v>
      </c>
      <c r="H207">
        <v>5.808282E-2</v>
      </c>
      <c r="J207" s="2" t="s">
        <v>113</v>
      </c>
      <c r="K207">
        <v>53000</v>
      </c>
      <c r="L207">
        <v>7.1597528999999993E-2</v>
      </c>
    </row>
    <row r="208" spans="1:14" x14ac:dyDescent="0.3">
      <c r="D208" s="2" t="s">
        <v>69</v>
      </c>
      <c r="E208">
        <v>40000</v>
      </c>
      <c r="G208" s="2">
        <v>44000</v>
      </c>
      <c r="H208">
        <v>4.6902999000000001E-2</v>
      </c>
      <c r="J208" s="2" t="s">
        <v>75</v>
      </c>
      <c r="K208">
        <v>62000</v>
      </c>
      <c r="L208">
        <v>5.8974061000000001E-2</v>
      </c>
    </row>
    <row r="209" spans="1:12" x14ac:dyDescent="0.3">
      <c r="A209" s="1" t="s">
        <v>2</v>
      </c>
      <c r="B209" t="s">
        <v>216</v>
      </c>
      <c r="D209" s="2" t="s">
        <v>139</v>
      </c>
      <c r="E209">
        <v>40000</v>
      </c>
      <c r="G209" s="2">
        <v>44500</v>
      </c>
      <c r="H209">
        <v>6.3912645000000004E-2</v>
      </c>
      <c r="J209" s="2" t="s">
        <v>112</v>
      </c>
      <c r="K209">
        <v>51000</v>
      </c>
      <c r="L209">
        <v>5.930117E-2</v>
      </c>
    </row>
    <row r="210" spans="1:12" x14ac:dyDescent="0.3">
      <c r="A210" s="2">
        <v>0</v>
      </c>
      <c r="B210">
        <v>63000</v>
      </c>
      <c r="D210" s="2" t="s">
        <v>181</v>
      </c>
      <c r="E210">
        <v>40000</v>
      </c>
      <c r="G210" s="2">
        <v>45000</v>
      </c>
      <c r="H210">
        <v>7.3428179357142867E-2</v>
      </c>
      <c r="J210" s="2" t="s">
        <v>77</v>
      </c>
      <c r="K210">
        <v>65000</v>
      </c>
      <c r="L210">
        <v>7.9035833999999999E-2</v>
      </c>
    </row>
    <row r="211" spans="1:12" x14ac:dyDescent="0.3">
      <c r="A211" s="2">
        <v>7.7453026999999994E-2</v>
      </c>
      <c r="B211">
        <v>45000</v>
      </c>
      <c r="D211" s="2" t="s">
        <v>215</v>
      </c>
      <c r="E211">
        <v>38921.428571428572</v>
      </c>
      <c r="G211" s="2">
        <v>46000</v>
      </c>
      <c r="H211">
        <v>5.0939250999999998E-2</v>
      </c>
      <c r="J211" s="2" t="s">
        <v>204</v>
      </c>
      <c r="K211">
        <v>65000</v>
      </c>
      <c r="L211">
        <v>6.1748572000000002E-2</v>
      </c>
    </row>
    <row r="212" spans="1:12" x14ac:dyDescent="0.3">
      <c r="A212" s="2">
        <v>9.0712508999999997E-2</v>
      </c>
      <c r="B212">
        <v>63000</v>
      </c>
      <c r="G212" s="2">
        <v>46600</v>
      </c>
      <c r="H212">
        <v>7.3919718999999995E-2</v>
      </c>
      <c r="J212" s="2" t="s">
        <v>202</v>
      </c>
      <c r="K212">
        <v>58000</v>
      </c>
      <c r="L212">
        <v>5.8865336999999997E-2</v>
      </c>
    </row>
    <row r="213" spans="1:12" x14ac:dyDescent="0.3">
      <c r="A213" s="2">
        <v>0.10185185200000001</v>
      </c>
      <c r="B213">
        <v>92000</v>
      </c>
      <c r="D213" t="str">
        <f>A209</f>
        <v>Major_category</v>
      </c>
      <c r="E213" t="str">
        <f>B209</f>
        <v>Average of Median</v>
      </c>
      <c r="G213" s="2">
        <v>46700</v>
      </c>
      <c r="H213">
        <v>7.7843758999999998E-2</v>
      </c>
      <c r="J213" s="2" t="s">
        <v>144</v>
      </c>
      <c r="K213">
        <v>59000</v>
      </c>
      <c r="L213">
        <v>5.4728623999999997E-2</v>
      </c>
    </row>
    <row r="214" spans="1:12" x14ac:dyDescent="0.3">
      <c r="A214" s="2">
        <v>0.107313196</v>
      </c>
      <c r="B214">
        <v>97000</v>
      </c>
      <c r="D214">
        <f t="shared" ref="D214:E214" si="61">A210</f>
        <v>0</v>
      </c>
      <c r="E214">
        <f t="shared" si="61"/>
        <v>63000</v>
      </c>
      <c r="G214" s="2">
        <v>47000</v>
      </c>
      <c r="H214">
        <v>7.6321790500000014E-2</v>
      </c>
      <c r="J214" s="2" t="s">
        <v>79</v>
      </c>
      <c r="K214">
        <v>78000</v>
      </c>
      <c r="L214">
        <v>5.3386588999999998E-2</v>
      </c>
    </row>
    <row r="215" spans="1:12" x14ac:dyDescent="0.3">
      <c r="A215" s="2">
        <v>0.11955890299999999</v>
      </c>
      <c r="B215">
        <v>65000</v>
      </c>
      <c r="D215">
        <f t="shared" ref="D215:E215" si="62">A211</f>
        <v>7.7453026999999994E-2</v>
      </c>
      <c r="E215">
        <f t="shared" si="62"/>
        <v>45000</v>
      </c>
      <c r="G215" s="2">
        <v>47500</v>
      </c>
      <c r="H215">
        <v>4.8916986000000003E-2</v>
      </c>
      <c r="J215" s="2" t="s">
        <v>155</v>
      </c>
      <c r="K215">
        <v>45000</v>
      </c>
      <c r="L215">
        <v>0.102712161</v>
      </c>
    </row>
    <row r="216" spans="1:12" x14ac:dyDescent="0.3">
      <c r="A216" s="2">
        <v>0.120564344</v>
      </c>
      <c r="B216">
        <v>125000</v>
      </c>
      <c r="D216">
        <f t="shared" ref="D216:E216" si="63">A212</f>
        <v>9.0712508999999997E-2</v>
      </c>
      <c r="E216">
        <f t="shared" si="63"/>
        <v>63000</v>
      </c>
      <c r="G216" s="2">
        <v>48000</v>
      </c>
      <c r="H216">
        <v>6.4436356333333333E-2</v>
      </c>
      <c r="J216" s="2" t="s">
        <v>182</v>
      </c>
      <c r="K216">
        <v>46600</v>
      </c>
      <c r="L216">
        <v>7.3919718999999995E-2</v>
      </c>
    </row>
    <row r="217" spans="1:12" x14ac:dyDescent="0.3">
      <c r="A217" s="2">
        <v>0.12495049499999999</v>
      </c>
      <c r="B217">
        <v>60000</v>
      </c>
      <c r="D217">
        <f t="shared" ref="D217:E217" si="64">A213</f>
        <v>0.10185185200000001</v>
      </c>
      <c r="E217">
        <f t="shared" si="64"/>
        <v>92000</v>
      </c>
      <c r="G217" s="2">
        <v>48400</v>
      </c>
      <c r="H217">
        <v>4.6266957999999997E-2</v>
      </c>
      <c r="J217" s="2" t="s">
        <v>47</v>
      </c>
      <c r="K217">
        <v>50000</v>
      </c>
      <c r="L217">
        <v>8.5008668999999995E-2</v>
      </c>
    </row>
    <row r="218" spans="1:12" x14ac:dyDescent="0.3">
      <c r="A218" s="2">
        <v>0.12503465499999999</v>
      </c>
      <c r="B218">
        <v>50000</v>
      </c>
      <c r="D218">
        <f t="shared" ref="D218:E218" si="65">A214</f>
        <v>0.107313196</v>
      </c>
      <c r="E218">
        <f t="shared" si="65"/>
        <v>97000</v>
      </c>
      <c r="G218" s="2">
        <v>49000</v>
      </c>
      <c r="H218">
        <v>5.7983076500000001E-2</v>
      </c>
      <c r="J218" s="2" t="s">
        <v>42</v>
      </c>
      <c r="K218">
        <v>50000</v>
      </c>
      <c r="L218">
        <v>6.4360314000000002E-2</v>
      </c>
    </row>
    <row r="219" spans="1:12" x14ac:dyDescent="0.3">
      <c r="A219" s="2">
        <v>0.13979280099999999</v>
      </c>
      <c r="B219">
        <v>80000</v>
      </c>
      <c r="D219">
        <f t="shared" ref="D219:E219" si="66">A215</f>
        <v>0.11955890299999999</v>
      </c>
      <c r="E219">
        <f t="shared" si="66"/>
        <v>65000</v>
      </c>
      <c r="G219" s="2">
        <v>49500</v>
      </c>
      <c r="H219">
        <v>6.3216549999999996E-2</v>
      </c>
      <c r="J219" s="2" t="s">
        <v>196</v>
      </c>
      <c r="K219">
        <v>47000</v>
      </c>
      <c r="L219">
        <v>6.6527701999999994E-2</v>
      </c>
    </row>
    <row r="220" spans="1:12" x14ac:dyDescent="0.3">
      <c r="A220" s="2">
        <v>0.144966965</v>
      </c>
      <c r="B220">
        <v>95000</v>
      </c>
      <c r="D220">
        <f t="shared" ref="D220:E220" si="67">A216</f>
        <v>0.120564344</v>
      </c>
      <c r="E220">
        <f t="shared" si="67"/>
        <v>125000</v>
      </c>
      <c r="G220" s="2">
        <v>50000</v>
      </c>
      <c r="H220">
        <v>5.8405901368421054E-2</v>
      </c>
      <c r="J220" s="2" t="s">
        <v>108</v>
      </c>
      <c r="K220">
        <v>40000</v>
      </c>
      <c r="L220">
        <v>7.3614949999999998E-2</v>
      </c>
    </row>
    <row r="221" spans="1:12" x14ac:dyDescent="0.3">
      <c r="A221" s="2">
        <v>0.153037383</v>
      </c>
      <c r="B221">
        <v>96000</v>
      </c>
      <c r="D221">
        <f t="shared" ref="D221:E221" si="68">A217</f>
        <v>0.12495049499999999</v>
      </c>
      <c r="E221">
        <f t="shared" si="68"/>
        <v>60000</v>
      </c>
      <c r="G221" s="2">
        <v>51000</v>
      </c>
      <c r="H221">
        <v>5.930117E-2</v>
      </c>
      <c r="J221" s="2" t="s">
        <v>53</v>
      </c>
      <c r="K221">
        <v>55000</v>
      </c>
      <c r="L221">
        <v>7.5045724999999994E-2</v>
      </c>
    </row>
    <row r="222" spans="1:12" x14ac:dyDescent="0.3">
      <c r="A222" s="2">
        <v>0.17412250500000001</v>
      </c>
      <c r="B222">
        <v>74000</v>
      </c>
      <c r="D222">
        <f t="shared" ref="D222:E222" si="69">A218</f>
        <v>0.12503465499999999</v>
      </c>
      <c r="E222">
        <f t="shared" si="69"/>
        <v>50000</v>
      </c>
      <c r="G222" s="2">
        <v>52000</v>
      </c>
      <c r="H222">
        <v>4.9368546999999999E-2</v>
      </c>
      <c r="J222" s="2" t="s">
        <v>49</v>
      </c>
      <c r="K222">
        <v>65000</v>
      </c>
      <c r="L222">
        <v>5.1891238999999999E-2</v>
      </c>
    </row>
    <row r="223" spans="1:12" x14ac:dyDescent="0.3">
      <c r="A223" s="2">
        <v>0.17898193800000001</v>
      </c>
      <c r="B223">
        <v>55000</v>
      </c>
      <c r="D223">
        <f t="shared" ref="D223:E223" si="70">A219</f>
        <v>0.13979280099999999</v>
      </c>
      <c r="E223">
        <f t="shared" si="70"/>
        <v>80000</v>
      </c>
      <c r="G223" s="2">
        <v>53000</v>
      </c>
      <c r="H223">
        <v>5.7716305666666669E-2</v>
      </c>
      <c r="J223" s="2" t="s">
        <v>80</v>
      </c>
      <c r="K223">
        <v>80000</v>
      </c>
      <c r="L223">
        <v>5.4743829000000001E-2</v>
      </c>
    </row>
    <row r="224" spans="1:12" x14ac:dyDescent="0.3">
      <c r="A224" s="2">
        <v>0.180882718</v>
      </c>
      <c r="B224">
        <v>55000</v>
      </c>
      <c r="D224">
        <f t="shared" ref="D224:E224" si="71">A220</f>
        <v>0.144966965</v>
      </c>
      <c r="E224">
        <f t="shared" si="71"/>
        <v>95000</v>
      </c>
      <c r="G224" s="2">
        <v>54000</v>
      </c>
      <c r="H224">
        <v>5.7436587750000004E-2</v>
      </c>
      <c r="J224" s="2" t="s">
        <v>54</v>
      </c>
      <c r="K224">
        <v>55000</v>
      </c>
      <c r="L224">
        <v>5.8694120000000002E-2</v>
      </c>
    </row>
    <row r="225" spans="1:12" x14ac:dyDescent="0.3">
      <c r="A225" s="2">
        <v>0.18398518899999999</v>
      </c>
      <c r="B225">
        <v>65000</v>
      </c>
      <c r="D225">
        <f t="shared" ref="D225:E225" si="72">A221</f>
        <v>0.153037383</v>
      </c>
      <c r="E225">
        <f t="shared" si="72"/>
        <v>96000</v>
      </c>
      <c r="G225" s="2">
        <v>55000</v>
      </c>
      <c r="H225">
        <v>5.6277941833333338E-2</v>
      </c>
      <c r="J225" s="2" t="s">
        <v>50</v>
      </c>
      <c r="K225">
        <v>60000</v>
      </c>
      <c r="L225">
        <v>9.0264216999999994E-2</v>
      </c>
    </row>
    <row r="226" spans="1:12" x14ac:dyDescent="0.3">
      <c r="A226" s="2">
        <v>0.18997043699999999</v>
      </c>
      <c r="B226">
        <v>70000</v>
      </c>
      <c r="D226">
        <f t="shared" ref="D226:E226" si="73">A222</f>
        <v>0.17412250500000001</v>
      </c>
      <c r="E226">
        <f t="shared" si="73"/>
        <v>74000</v>
      </c>
      <c r="G226" s="2">
        <v>56000</v>
      </c>
      <c r="H226">
        <v>5.6639643666666663E-2</v>
      </c>
      <c r="J226" s="2" t="s">
        <v>174</v>
      </c>
      <c r="K226">
        <v>65000</v>
      </c>
      <c r="L226">
        <v>5.1097081000000003E-2</v>
      </c>
    </row>
    <row r="227" spans="1:12" x14ac:dyDescent="0.3">
      <c r="A227" s="2">
        <v>0.19645025599999999</v>
      </c>
      <c r="B227">
        <v>80000</v>
      </c>
      <c r="D227">
        <f t="shared" ref="D227:E227" si="74">A223</f>
        <v>0.17898193800000001</v>
      </c>
      <c r="E227">
        <f t="shared" si="74"/>
        <v>55000</v>
      </c>
      <c r="G227" s="2">
        <v>57000</v>
      </c>
      <c r="H227">
        <v>4.2792441000000001E-2</v>
      </c>
      <c r="J227" s="2" t="s">
        <v>55</v>
      </c>
      <c r="K227">
        <v>40000</v>
      </c>
      <c r="L227">
        <v>5.4940700000000002E-2</v>
      </c>
    </row>
    <row r="228" spans="1:12" x14ac:dyDescent="0.3">
      <c r="A228" s="2">
        <v>0.199412643</v>
      </c>
      <c r="B228">
        <v>80000</v>
      </c>
      <c r="D228">
        <f t="shared" ref="D228:E228" si="75">A224</f>
        <v>0.180882718</v>
      </c>
      <c r="E228">
        <f t="shared" si="75"/>
        <v>55000</v>
      </c>
      <c r="G228" s="2">
        <v>58000</v>
      </c>
      <c r="H228">
        <v>4.2700630249999996E-2</v>
      </c>
      <c r="J228" s="2" t="s">
        <v>156</v>
      </c>
      <c r="K228">
        <v>39000</v>
      </c>
      <c r="L228">
        <v>6.8021390000000001E-2</v>
      </c>
    </row>
    <row r="229" spans="1:12" x14ac:dyDescent="0.3">
      <c r="A229" s="2">
        <v>0.20002271699999999</v>
      </c>
      <c r="B229">
        <v>53000</v>
      </c>
      <c r="D229">
        <f t="shared" ref="D229:E229" si="76">A225</f>
        <v>0.18398518899999999</v>
      </c>
      <c r="E229">
        <f t="shared" si="76"/>
        <v>65000</v>
      </c>
      <c r="G229" s="2">
        <v>59000</v>
      </c>
      <c r="H229">
        <v>5.4728623999999997E-2</v>
      </c>
      <c r="J229" s="2" t="s">
        <v>104</v>
      </c>
      <c r="K229">
        <v>50000</v>
      </c>
      <c r="L229">
        <v>6.6512583E-2</v>
      </c>
    </row>
    <row r="230" spans="1:12" x14ac:dyDescent="0.3">
      <c r="A230" s="2">
        <v>0.222695002</v>
      </c>
      <c r="B230">
        <v>62000</v>
      </c>
      <c r="D230">
        <f t="shared" ref="D230:E230" si="77">A226</f>
        <v>0.18997043699999999</v>
      </c>
      <c r="E230">
        <f t="shared" si="77"/>
        <v>70000</v>
      </c>
      <c r="G230" s="2">
        <v>60000</v>
      </c>
      <c r="H230">
        <v>4.9252466111111115E-2</v>
      </c>
      <c r="J230" s="2" t="s">
        <v>160</v>
      </c>
      <c r="K230">
        <v>50000</v>
      </c>
      <c r="L230">
        <v>5.4035589000000002E-2</v>
      </c>
    </row>
    <row r="231" spans="1:12" x14ac:dyDescent="0.3">
      <c r="A231" s="2">
        <v>0.22711794299999999</v>
      </c>
      <c r="B231">
        <v>78000</v>
      </c>
      <c r="D231">
        <f t="shared" ref="D231:E231" si="78">A227</f>
        <v>0.19645025599999999</v>
      </c>
      <c r="E231">
        <f t="shared" si="78"/>
        <v>80000</v>
      </c>
      <c r="G231" s="2">
        <v>61000</v>
      </c>
      <c r="H231">
        <v>2.6291603E-2</v>
      </c>
      <c r="J231" s="2" t="s">
        <v>168</v>
      </c>
      <c r="K231">
        <v>49000</v>
      </c>
      <c r="L231">
        <v>6.4519170000000001E-2</v>
      </c>
    </row>
    <row r="232" spans="1:12" x14ac:dyDescent="0.3">
      <c r="A232" s="2">
        <v>0.23244353200000001</v>
      </c>
      <c r="B232">
        <v>48000</v>
      </c>
      <c r="D232">
        <f t="shared" ref="D232:E232" si="79">A228</f>
        <v>0.199412643</v>
      </c>
      <c r="E232">
        <f t="shared" si="79"/>
        <v>80000</v>
      </c>
      <c r="G232" s="2">
        <v>62000</v>
      </c>
      <c r="H232">
        <v>5.7689268800000006E-2</v>
      </c>
      <c r="J232" s="2" t="s">
        <v>179</v>
      </c>
      <c r="K232">
        <v>42000</v>
      </c>
      <c r="L232">
        <v>8.0273730000000001E-2</v>
      </c>
    </row>
    <row r="233" spans="1:12" x14ac:dyDescent="0.3">
      <c r="A233" s="2">
        <v>0.236062718</v>
      </c>
      <c r="B233">
        <v>50000</v>
      </c>
      <c r="D233">
        <f t="shared" ref="D233:E233" si="80">A229</f>
        <v>0.20002271699999999</v>
      </c>
      <c r="E233">
        <f t="shared" si="80"/>
        <v>53000</v>
      </c>
      <c r="G233" s="2">
        <v>63000</v>
      </c>
      <c r="H233">
        <v>5.4802908000000004E-2</v>
      </c>
      <c r="J233" s="2" t="s">
        <v>166</v>
      </c>
      <c r="K233">
        <v>69000</v>
      </c>
      <c r="L233">
        <v>6.1312717000000003E-2</v>
      </c>
    </row>
    <row r="234" spans="1:12" x14ac:dyDescent="0.3">
      <c r="A234" s="2">
        <v>0.244103081</v>
      </c>
      <c r="B234">
        <v>66000</v>
      </c>
      <c r="D234">
        <f t="shared" ref="D234:E234" si="81">A230</f>
        <v>0.222695002</v>
      </c>
      <c r="E234">
        <f t="shared" si="81"/>
        <v>62000</v>
      </c>
      <c r="G234" s="2">
        <v>64000</v>
      </c>
      <c r="H234">
        <v>0.10179640700000001</v>
      </c>
      <c r="J234" s="2" t="s">
        <v>154</v>
      </c>
      <c r="K234">
        <v>40000</v>
      </c>
      <c r="L234">
        <v>7.5631139999999999E-2</v>
      </c>
    </row>
    <row r="235" spans="1:12" x14ac:dyDescent="0.3">
      <c r="A235" s="2">
        <v>0.24919024000000001</v>
      </c>
      <c r="B235">
        <v>65000</v>
      </c>
      <c r="D235">
        <f t="shared" ref="D235:E235" si="82">A231</f>
        <v>0.22711794299999999</v>
      </c>
      <c r="E235">
        <f t="shared" si="82"/>
        <v>78000</v>
      </c>
      <c r="G235" s="2">
        <v>65000</v>
      </c>
      <c r="H235">
        <v>5.5315959888888898E-2</v>
      </c>
      <c r="J235" s="2" t="s">
        <v>81</v>
      </c>
      <c r="K235">
        <v>88000</v>
      </c>
      <c r="L235">
        <v>5.0508788999999998E-2</v>
      </c>
    </row>
    <row r="236" spans="1:12" x14ac:dyDescent="0.3">
      <c r="A236" s="2">
        <v>0.251388889</v>
      </c>
      <c r="B236">
        <v>60000</v>
      </c>
      <c r="D236">
        <f t="shared" ref="D236:E236" si="83">A232</f>
        <v>0.23244353200000001</v>
      </c>
      <c r="E236">
        <f t="shared" si="83"/>
        <v>48000</v>
      </c>
      <c r="G236" s="2">
        <v>66000</v>
      </c>
      <c r="H236">
        <v>5.2936080000000003E-2</v>
      </c>
      <c r="J236" s="2" t="s">
        <v>96</v>
      </c>
      <c r="K236">
        <v>67000</v>
      </c>
      <c r="L236">
        <v>5.8384093999999997E-2</v>
      </c>
    </row>
    <row r="237" spans="1:12" x14ac:dyDescent="0.3">
      <c r="A237" s="2">
        <v>0.25295983799999999</v>
      </c>
      <c r="B237">
        <v>75000</v>
      </c>
      <c r="D237">
        <f t="shared" ref="D237:E237" si="84">A233</f>
        <v>0.236062718</v>
      </c>
      <c r="E237">
        <f t="shared" si="84"/>
        <v>50000</v>
      </c>
      <c r="G237" s="2">
        <v>67000</v>
      </c>
      <c r="H237">
        <v>5.2823887999999999E-2</v>
      </c>
      <c r="J237" s="2" t="s">
        <v>175</v>
      </c>
      <c r="K237">
        <v>48000</v>
      </c>
      <c r="L237">
        <v>5.2033988000000003E-2</v>
      </c>
    </row>
    <row r="238" spans="1:12" x14ac:dyDescent="0.3">
      <c r="A238" s="2">
        <v>0.25358330200000001</v>
      </c>
      <c r="B238">
        <v>65000</v>
      </c>
      <c r="D238">
        <f t="shared" ref="D238:E238" si="85">A234</f>
        <v>0.244103081</v>
      </c>
      <c r="E238">
        <f t="shared" si="85"/>
        <v>66000</v>
      </c>
      <c r="G238" s="2">
        <v>68000</v>
      </c>
      <c r="H238">
        <v>5.2841063000000001E-2</v>
      </c>
      <c r="J238" s="2" t="s">
        <v>95</v>
      </c>
      <c r="K238">
        <v>74000</v>
      </c>
      <c r="L238">
        <v>5.4658256000000002E-2</v>
      </c>
    </row>
    <row r="239" spans="1:12" x14ac:dyDescent="0.3">
      <c r="A239" s="2">
        <v>0.26919385800000001</v>
      </c>
      <c r="B239">
        <v>60000</v>
      </c>
      <c r="D239">
        <f t="shared" ref="D239:E239" si="86">A235</f>
        <v>0.24919024000000001</v>
      </c>
      <c r="E239">
        <f t="shared" si="86"/>
        <v>65000</v>
      </c>
      <c r="G239" s="2">
        <v>69000</v>
      </c>
      <c r="H239">
        <v>6.1312717000000003E-2</v>
      </c>
      <c r="J239" s="2" t="s">
        <v>107</v>
      </c>
      <c r="K239">
        <v>50000</v>
      </c>
      <c r="L239">
        <v>6.8645304000000004E-2</v>
      </c>
    </row>
    <row r="240" spans="1:12" x14ac:dyDescent="0.3">
      <c r="A240" s="2">
        <v>0.27879014600000002</v>
      </c>
      <c r="B240">
        <v>72000</v>
      </c>
      <c r="D240">
        <f t="shared" ref="D240:E240" si="87">A236</f>
        <v>0.251388889</v>
      </c>
      <c r="E240">
        <f t="shared" si="87"/>
        <v>60000</v>
      </c>
      <c r="G240" s="2">
        <v>70000</v>
      </c>
      <c r="H240">
        <v>5.3199287000000005E-2</v>
      </c>
      <c r="J240" s="2" t="s">
        <v>34</v>
      </c>
      <c r="K240">
        <v>52000</v>
      </c>
      <c r="L240">
        <v>5.1289827000000003E-2</v>
      </c>
    </row>
    <row r="241" spans="1:12" x14ac:dyDescent="0.3">
      <c r="A241" s="2">
        <v>0.281936407</v>
      </c>
      <c r="B241">
        <v>70000</v>
      </c>
      <c r="D241">
        <f t="shared" ref="D241:E241" si="88">A237</f>
        <v>0.25295983799999999</v>
      </c>
      <c r="E241">
        <f t="shared" si="88"/>
        <v>75000</v>
      </c>
      <c r="G241" s="2">
        <v>72000</v>
      </c>
      <c r="H241">
        <v>5.0020330000000002E-2</v>
      </c>
      <c r="J241" s="2" t="s">
        <v>103</v>
      </c>
      <c r="K241">
        <v>40500</v>
      </c>
      <c r="L241">
        <v>5.5784848999999997E-2</v>
      </c>
    </row>
    <row r="242" spans="1:12" x14ac:dyDescent="0.3">
      <c r="A242" s="2">
        <v>0.28290282900000002</v>
      </c>
      <c r="B242">
        <v>54000</v>
      </c>
      <c r="D242">
        <f t="shared" ref="D242:E242" si="89">A238</f>
        <v>0.25358330200000001</v>
      </c>
      <c r="E242">
        <f t="shared" si="89"/>
        <v>65000</v>
      </c>
      <c r="G242" s="2">
        <v>74000</v>
      </c>
      <c r="H242">
        <v>5.4658256000000002E-2</v>
      </c>
      <c r="J242" s="2" t="s">
        <v>183</v>
      </c>
      <c r="K242">
        <v>47000</v>
      </c>
      <c r="L242">
        <v>8.5618911000000006E-2</v>
      </c>
    </row>
    <row r="243" spans="1:12" x14ac:dyDescent="0.3">
      <c r="A243" s="2">
        <v>0.292607004</v>
      </c>
      <c r="B243">
        <v>78000</v>
      </c>
      <c r="D243">
        <f t="shared" ref="D243:E243" si="90">A239</f>
        <v>0.26919385800000001</v>
      </c>
      <c r="E243">
        <f t="shared" si="90"/>
        <v>60000</v>
      </c>
      <c r="G243" s="2">
        <v>75000</v>
      </c>
      <c r="H243">
        <v>4.0504984333333334E-2</v>
      </c>
      <c r="J243" s="2" t="s">
        <v>177</v>
      </c>
      <c r="K243">
        <v>45000</v>
      </c>
      <c r="L243">
        <v>7.1753267999999995E-2</v>
      </c>
    </row>
    <row r="244" spans="1:12" x14ac:dyDescent="0.3">
      <c r="A244" s="2">
        <v>0.30500459699999999</v>
      </c>
      <c r="B244">
        <v>55000</v>
      </c>
      <c r="D244">
        <f t="shared" ref="D244:E244" si="91">A240</f>
        <v>0.27879014600000002</v>
      </c>
      <c r="E244">
        <f t="shared" si="91"/>
        <v>72000</v>
      </c>
      <c r="G244" s="2">
        <v>78000</v>
      </c>
      <c r="H244">
        <v>5.7919782499999996E-2</v>
      </c>
      <c r="J244" s="2" t="s">
        <v>101</v>
      </c>
      <c r="K244">
        <v>48000</v>
      </c>
      <c r="L244">
        <v>5.8792542000000003E-2</v>
      </c>
    </row>
    <row r="245" spans="1:12" x14ac:dyDescent="0.3">
      <c r="A245" s="2">
        <v>0.30510948900000001</v>
      </c>
      <c r="B245">
        <v>50000</v>
      </c>
      <c r="D245">
        <f t="shared" ref="D245:E245" si="92">A241</f>
        <v>0.281936407</v>
      </c>
      <c r="E245">
        <f t="shared" si="92"/>
        <v>70000</v>
      </c>
      <c r="G245" s="2">
        <v>80000</v>
      </c>
      <c r="H245">
        <v>5.6645124749999998E-2</v>
      </c>
      <c r="J245" s="2" t="s">
        <v>198</v>
      </c>
      <c r="K245">
        <v>60000</v>
      </c>
      <c r="L245">
        <v>5.1377531999999997E-2</v>
      </c>
    </row>
    <row r="246" spans="1:12" x14ac:dyDescent="0.3">
      <c r="A246" s="2">
        <v>0.31082028499999997</v>
      </c>
      <c r="B246">
        <v>75000</v>
      </c>
      <c r="D246">
        <f t="shared" ref="D246:E246" si="93">A242</f>
        <v>0.28290282900000002</v>
      </c>
      <c r="E246">
        <f t="shared" si="93"/>
        <v>54000</v>
      </c>
      <c r="G246" s="2">
        <v>85000</v>
      </c>
      <c r="H246">
        <v>0</v>
      </c>
      <c r="J246" s="2" t="s">
        <v>187</v>
      </c>
      <c r="K246">
        <v>50000</v>
      </c>
      <c r="L246">
        <v>5.4700627000000002E-2</v>
      </c>
    </row>
    <row r="247" spans="1:12" x14ac:dyDescent="0.3">
      <c r="A247" s="2">
        <v>0.32078431400000001</v>
      </c>
      <c r="B247">
        <v>62000</v>
      </c>
      <c r="D247">
        <f t="shared" ref="D247:E247" si="94">A243</f>
        <v>0.292607004</v>
      </c>
      <c r="E247">
        <f t="shared" si="94"/>
        <v>78000</v>
      </c>
      <c r="G247" s="2">
        <v>86000</v>
      </c>
      <c r="H247">
        <v>4.6261361000000001E-2</v>
      </c>
      <c r="J247" s="2" t="s">
        <v>165</v>
      </c>
      <c r="K247">
        <v>50000</v>
      </c>
      <c r="L247">
        <v>7.1056931000000004E-2</v>
      </c>
    </row>
    <row r="248" spans="1:12" x14ac:dyDescent="0.3">
      <c r="A248" s="2">
        <v>0.32129606700000002</v>
      </c>
      <c r="B248">
        <v>67000</v>
      </c>
      <c r="D248">
        <f t="shared" ref="D248:E248" si="95">A244</f>
        <v>0.30500459699999999</v>
      </c>
      <c r="E248">
        <f t="shared" si="95"/>
        <v>55000</v>
      </c>
      <c r="G248" s="2">
        <v>88000</v>
      </c>
      <c r="H248">
        <v>5.0508788999999998E-2</v>
      </c>
      <c r="J248" s="2" t="s">
        <v>169</v>
      </c>
      <c r="K248">
        <v>54000</v>
      </c>
      <c r="L248">
        <v>6.9008490000000006E-2</v>
      </c>
    </row>
    <row r="249" spans="1:12" x14ac:dyDescent="0.3">
      <c r="A249" s="2">
        <v>0.32176966299999998</v>
      </c>
      <c r="B249">
        <v>63000</v>
      </c>
      <c r="D249">
        <f t="shared" ref="D249:E249" si="96">A245</f>
        <v>0.30510948900000001</v>
      </c>
      <c r="E249">
        <f t="shared" si="96"/>
        <v>50000</v>
      </c>
      <c r="G249" s="2">
        <v>92000</v>
      </c>
      <c r="H249">
        <v>3.5966004500000003E-2</v>
      </c>
      <c r="J249" s="2" t="s">
        <v>145</v>
      </c>
      <c r="K249">
        <v>65000</v>
      </c>
      <c r="L249">
        <v>6.5110534999999997E-2</v>
      </c>
    </row>
    <row r="250" spans="1:12" x14ac:dyDescent="0.3">
      <c r="A250" s="2">
        <v>0.322222222</v>
      </c>
      <c r="B250">
        <v>65000</v>
      </c>
      <c r="D250">
        <f t="shared" ref="D250:E250" si="97">A246</f>
        <v>0.31082028499999997</v>
      </c>
      <c r="E250">
        <f t="shared" si="97"/>
        <v>75000</v>
      </c>
      <c r="G250" s="2">
        <v>95000</v>
      </c>
      <c r="H250">
        <v>6.7159423999999995E-2</v>
      </c>
      <c r="J250" s="2" t="s">
        <v>189</v>
      </c>
      <c r="K250">
        <v>50000</v>
      </c>
      <c r="L250">
        <v>5.7003976999999997E-2</v>
      </c>
    </row>
    <row r="251" spans="1:12" x14ac:dyDescent="0.3">
      <c r="A251" s="2">
        <v>0.32483804999999999</v>
      </c>
      <c r="B251">
        <v>85000</v>
      </c>
      <c r="D251">
        <f t="shared" ref="D251:E251" si="98">A247</f>
        <v>0.32078431400000001</v>
      </c>
      <c r="E251">
        <f t="shared" si="98"/>
        <v>62000</v>
      </c>
      <c r="G251" s="2">
        <v>96000</v>
      </c>
      <c r="H251">
        <v>4.4872677E-2</v>
      </c>
      <c r="J251" s="2" t="s">
        <v>192</v>
      </c>
      <c r="K251">
        <v>50000</v>
      </c>
      <c r="L251">
        <v>7.0009785000000005E-2</v>
      </c>
    </row>
    <row r="252" spans="1:12" x14ac:dyDescent="0.3">
      <c r="A252" s="2">
        <v>0.32509188100000003</v>
      </c>
      <c r="B252">
        <v>67000</v>
      </c>
      <c r="D252">
        <f t="shared" ref="D252:E252" si="99">A248</f>
        <v>0.32129606700000002</v>
      </c>
      <c r="E252">
        <f t="shared" si="99"/>
        <v>67000</v>
      </c>
      <c r="G252" s="2">
        <v>97000</v>
      </c>
      <c r="H252">
        <v>4.0308825E-2</v>
      </c>
      <c r="J252" s="2" t="s">
        <v>212</v>
      </c>
      <c r="K252">
        <v>50000</v>
      </c>
      <c r="L252">
        <v>6.5851006000000004E-2</v>
      </c>
    </row>
    <row r="253" spans="1:12" x14ac:dyDescent="0.3">
      <c r="A253" s="2">
        <v>0.33967098200000001</v>
      </c>
      <c r="B253">
        <v>50000</v>
      </c>
      <c r="D253">
        <f t="shared" ref="D253:E253" si="100">A249</f>
        <v>0.32176966299999998</v>
      </c>
      <c r="E253">
        <f t="shared" si="100"/>
        <v>63000</v>
      </c>
      <c r="G253" s="2">
        <v>106000</v>
      </c>
      <c r="H253">
        <v>3.4357681000000001E-2</v>
      </c>
      <c r="J253" s="2" t="s">
        <v>209</v>
      </c>
      <c r="K253">
        <v>49000</v>
      </c>
      <c r="L253">
        <v>5.1446983000000002E-2</v>
      </c>
    </row>
    <row r="254" spans="1:12" x14ac:dyDescent="0.3">
      <c r="A254" s="2">
        <v>0.34082495699999998</v>
      </c>
      <c r="B254">
        <v>69000</v>
      </c>
      <c r="D254">
        <f t="shared" ref="D254:E254" si="101">A250</f>
        <v>0.322222222</v>
      </c>
      <c r="E254">
        <f t="shared" si="101"/>
        <v>65000</v>
      </c>
      <c r="G254" s="2">
        <v>125000</v>
      </c>
      <c r="H254">
        <v>4.2205349000000003E-2</v>
      </c>
      <c r="J254" s="2" t="s">
        <v>207</v>
      </c>
      <c r="K254">
        <v>54000</v>
      </c>
      <c r="L254">
        <v>6.0748094000000002E-2</v>
      </c>
    </row>
    <row r="255" spans="1:12" x14ac:dyDescent="0.3">
      <c r="A255" s="2">
        <v>0.341630502</v>
      </c>
      <c r="B255">
        <v>86000</v>
      </c>
      <c r="D255">
        <f t="shared" ref="D255:E255" si="102">A251</f>
        <v>0.32483804999999999</v>
      </c>
      <c r="E255">
        <f t="shared" si="102"/>
        <v>85000</v>
      </c>
      <c r="G255" s="2" t="s">
        <v>215</v>
      </c>
      <c r="H255">
        <v>5.7355453283237004E-2</v>
      </c>
      <c r="J255" s="2" t="s">
        <v>163</v>
      </c>
      <c r="K255">
        <v>38000</v>
      </c>
      <c r="L255">
        <v>7.2421293999999997E-2</v>
      </c>
    </row>
    <row r="256" spans="1:12" x14ac:dyDescent="0.3">
      <c r="A256" s="2">
        <v>0.34222881100000002</v>
      </c>
      <c r="B256">
        <v>65000</v>
      </c>
      <c r="D256">
        <f t="shared" ref="D256:E256" si="103">A252</f>
        <v>0.32509188100000003</v>
      </c>
      <c r="E256">
        <f t="shared" si="103"/>
        <v>67000</v>
      </c>
      <c r="J256" s="2" t="s">
        <v>110</v>
      </c>
      <c r="K256">
        <v>46700</v>
      </c>
      <c r="L256">
        <v>7.7843758999999998E-2</v>
      </c>
    </row>
    <row r="257" spans="1:12" x14ac:dyDescent="0.3">
      <c r="A257" s="2">
        <v>0.34347321800000002</v>
      </c>
      <c r="B257">
        <v>75000</v>
      </c>
      <c r="D257">
        <f t="shared" ref="D257:E257" si="104">A253</f>
        <v>0.33967098200000001</v>
      </c>
      <c r="E257">
        <f t="shared" si="104"/>
        <v>50000</v>
      </c>
      <c r="J257" s="2" t="s">
        <v>85</v>
      </c>
      <c r="K257">
        <v>75000</v>
      </c>
      <c r="L257">
        <v>5.1493382999999997E-2</v>
      </c>
    </row>
    <row r="258" spans="1:12" x14ac:dyDescent="0.3">
      <c r="A258" s="2">
        <v>0.350442478</v>
      </c>
      <c r="B258">
        <v>78000</v>
      </c>
      <c r="D258">
        <f t="shared" ref="D258:E258" si="105">A254</f>
        <v>0.34082495699999998</v>
      </c>
      <c r="E258">
        <f t="shared" si="105"/>
        <v>69000</v>
      </c>
      <c r="J258" s="2" t="s">
        <v>157</v>
      </c>
      <c r="K258">
        <v>62000</v>
      </c>
      <c r="L258">
        <v>8.362907E-2</v>
      </c>
    </row>
    <row r="259" spans="1:12" x14ac:dyDescent="0.3">
      <c r="A259" s="2">
        <v>0.35546905899999998</v>
      </c>
      <c r="B259">
        <v>65000</v>
      </c>
      <c r="D259">
        <f t="shared" ref="D259:E259" si="106">A255</f>
        <v>0.341630502</v>
      </c>
      <c r="E259">
        <f t="shared" si="106"/>
        <v>86000</v>
      </c>
      <c r="J259" s="2" t="s">
        <v>52</v>
      </c>
      <c r="K259">
        <v>68000</v>
      </c>
      <c r="L259">
        <v>5.2841063000000001E-2</v>
      </c>
    </row>
    <row r="260" spans="1:12" x14ac:dyDescent="0.3">
      <c r="A260" s="2">
        <v>0.36617687799999998</v>
      </c>
      <c r="B260">
        <v>42000</v>
      </c>
      <c r="D260">
        <f t="shared" ref="D260:E260" si="107">A256</f>
        <v>0.34222881100000002</v>
      </c>
      <c r="E260">
        <f t="shared" si="107"/>
        <v>65000</v>
      </c>
      <c r="J260" s="2" t="s">
        <v>130</v>
      </c>
      <c r="K260">
        <v>45000</v>
      </c>
      <c r="L260">
        <v>7.4330126999999996E-2</v>
      </c>
    </row>
    <row r="261" spans="1:12" x14ac:dyDescent="0.3">
      <c r="A261" s="2">
        <v>0.37435562300000003</v>
      </c>
      <c r="B261">
        <v>46600</v>
      </c>
      <c r="D261">
        <f t="shared" ref="D261:E261" si="108">A257</f>
        <v>0.34347321800000002</v>
      </c>
      <c r="E261">
        <f t="shared" si="108"/>
        <v>75000</v>
      </c>
      <c r="J261" s="2" t="s">
        <v>135</v>
      </c>
      <c r="K261">
        <v>45000</v>
      </c>
      <c r="L261">
        <v>6.5383452999999994E-2</v>
      </c>
    </row>
    <row r="262" spans="1:12" x14ac:dyDescent="0.3">
      <c r="A262" s="2">
        <v>0.37743732600000002</v>
      </c>
      <c r="B262">
        <v>60000</v>
      </c>
      <c r="D262">
        <f t="shared" ref="D262:E262" si="109">A258</f>
        <v>0.350442478</v>
      </c>
      <c r="E262">
        <f t="shared" si="109"/>
        <v>78000</v>
      </c>
      <c r="J262" s="2" t="s">
        <v>208</v>
      </c>
      <c r="K262">
        <v>54000</v>
      </c>
      <c r="L262">
        <v>7.1353708000000002E-2</v>
      </c>
    </row>
    <row r="263" spans="1:12" x14ac:dyDescent="0.3">
      <c r="A263" s="2">
        <v>0.38290043299999998</v>
      </c>
      <c r="B263">
        <v>56000</v>
      </c>
      <c r="D263">
        <f t="shared" ref="D263:E263" si="110">A259</f>
        <v>0.35546905899999998</v>
      </c>
      <c r="E263">
        <f t="shared" si="110"/>
        <v>65000</v>
      </c>
      <c r="J263" s="2" t="s">
        <v>170</v>
      </c>
      <c r="K263">
        <v>55000</v>
      </c>
      <c r="L263">
        <v>7.0313269999999997E-2</v>
      </c>
    </row>
    <row r="264" spans="1:12" x14ac:dyDescent="0.3">
      <c r="A264" s="2">
        <v>0.38371900599999997</v>
      </c>
      <c r="B264">
        <v>40000</v>
      </c>
      <c r="D264">
        <f t="shared" ref="D264:E264" si="111">A260</f>
        <v>0.36617687799999998</v>
      </c>
      <c r="E264">
        <f t="shared" si="111"/>
        <v>42000</v>
      </c>
      <c r="J264" s="2" t="s">
        <v>44</v>
      </c>
      <c r="K264">
        <v>50000</v>
      </c>
      <c r="L264">
        <v>6.1916751999999999E-2</v>
      </c>
    </row>
    <row r="265" spans="1:12" x14ac:dyDescent="0.3">
      <c r="A265" s="2">
        <v>0.41017964099999998</v>
      </c>
      <c r="B265">
        <v>45000</v>
      </c>
      <c r="D265">
        <f t="shared" ref="D265:E265" si="112">A261</f>
        <v>0.37435562300000003</v>
      </c>
      <c r="E265">
        <f t="shared" si="112"/>
        <v>46600</v>
      </c>
      <c r="J265" s="2" t="s">
        <v>109</v>
      </c>
      <c r="K265">
        <v>50000</v>
      </c>
      <c r="L265">
        <v>6.7578521000000003E-2</v>
      </c>
    </row>
    <row r="266" spans="1:12" x14ac:dyDescent="0.3">
      <c r="A266" s="2">
        <v>0.41680957400000002</v>
      </c>
      <c r="B266">
        <v>45000</v>
      </c>
      <c r="D266">
        <f t="shared" ref="D266:E266" si="113">A262</f>
        <v>0.37743732600000002</v>
      </c>
      <c r="E266">
        <f t="shared" si="113"/>
        <v>60000</v>
      </c>
      <c r="J266" s="2" t="s">
        <v>111</v>
      </c>
      <c r="K266">
        <v>40000</v>
      </c>
      <c r="L266">
        <v>9.4842992000000001E-2</v>
      </c>
    </row>
    <row r="267" spans="1:12" x14ac:dyDescent="0.3">
      <c r="A267" s="2">
        <v>0.41792479999999999</v>
      </c>
      <c r="B267">
        <v>60000</v>
      </c>
      <c r="D267">
        <f t="shared" ref="D267:E267" si="114">A263</f>
        <v>0.38290043299999998</v>
      </c>
      <c r="E267">
        <f t="shared" si="114"/>
        <v>56000</v>
      </c>
      <c r="J267" s="2" t="s">
        <v>100</v>
      </c>
      <c r="K267">
        <v>48000</v>
      </c>
      <c r="L267">
        <v>8.1348088999999998E-2</v>
      </c>
    </row>
    <row r="268" spans="1:12" x14ac:dyDescent="0.3">
      <c r="A268" s="2">
        <v>0.423208896</v>
      </c>
      <c r="B268">
        <v>46000</v>
      </c>
      <c r="D268">
        <f t="shared" ref="D268:E268" si="115">A264</f>
        <v>0.38371900599999997</v>
      </c>
      <c r="E268">
        <f t="shared" si="115"/>
        <v>40000</v>
      </c>
      <c r="J268" s="2" t="s">
        <v>205</v>
      </c>
      <c r="K268">
        <v>56000</v>
      </c>
      <c r="L268">
        <v>5.5032889000000002E-2</v>
      </c>
    </row>
    <row r="269" spans="1:12" x14ac:dyDescent="0.3">
      <c r="A269" s="2">
        <v>0.42692372000000001</v>
      </c>
      <c r="B269">
        <v>60000</v>
      </c>
      <c r="D269">
        <f t="shared" ref="D269:E269" si="116">A265</f>
        <v>0.41017964099999998</v>
      </c>
      <c r="E269">
        <f t="shared" si="116"/>
        <v>45000</v>
      </c>
      <c r="J269" s="2" t="s">
        <v>45</v>
      </c>
      <c r="K269">
        <v>48000</v>
      </c>
      <c r="L269">
        <v>8.3004759999999997E-2</v>
      </c>
    </row>
    <row r="270" spans="1:12" x14ac:dyDescent="0.3">
      <c r="A270" s="2">
        <v>0.42968496299999998</v>
      </c>
      <c r="B270">
        <v>64000</v>
      </c>
      <c r="D270">
        <f t="shared" ref="D270:E270" si="117">A266</f>
        <v>0.41680957400000002</v>
      </c>
      <c r="E270">
        <f t="shared" si="117"/>
        <v>45000</v>
      </c>
      <c r="J270" s="2" t="s">
        <v>86</v>
      </c>
      <c r="K270">
        <v>78000</v>
      </c>
      <c r="L270">
        <v>5.9731114000000002E-2</v>
      </c>
    </row>
    <row r="271" spans="1:12" x14ac:dyDescent="0.3">
      <c r="A271" s="2">
        <v>0.43053676099999999</v>
      </c>
      <c r="B271">
        <v>62000</v>
      </c>
      <c r="D271">
        <f t="shared" ref="D271:E271" si="118">A267</f>
        <v>0.41792479999999999</v>
      </c>
      <c r="E271">
        <f t="shared" si="118"/>
        <v>60000</v>
      </c>
      <c r="J271" s="2" t="s">
        <v>124</v>
      </c>
      <c r="K271">
        <v>66000</v>
      </c>
      <c r="L271">
        <v>5.2936080000000003E-2</v>
      </c>
    </row>
    <row r="272" spans="1:12" x14ac:dyDescent="0.3">
      <c r="A272" s="2">
        <v>0.43429844099999998</v>
      </c>
      <c r="B272">
        <v>60000</v>
      </c>
      <c r="D272">
        <f t="shared" ref="D272:E272" si="119">A268</f>
        <v>0.423208896</v>
      </c>
      <c r="E272">
        <f t="shared" si="119"/>
        <v>46000</v>
      </c>
      <c r="J272" s="2" t="s">
        <v>118</v>
      </c>
      <c r="K272">
        <v>60000</v>
      </c>
      <c r="L272">
        <v>5.0880749000000003E-2</v>
      </c>
    </row>
    <row r="273" spans="1:12" x14ac:dyDescent="0.3">
      <c r="A273" s="2">
        <v>0.43630163300000002</v>
      </c>
      <c r="B273">
        <v>62000</v>
      </c>
      <c r="D273">
        <f t="shared" ref="D273:E273" si="120">A269</f>
        <v>0.42692372000000001</v>
      </c>
      <c r="E273">
        <f t="shared" si="120"/>
        <v>60000</v>
      </c>
      <c r="J273" s="2" t="s">
        <v>127</v>
      </c>
      <c r="K273">
        <v>64000</v>
      </c>
      <c r="L273">
        <v>0.10179640700000001</v>
      </c>
    </row>
    <row r="274" spans="1:12" x14ac:dyDescent="0.3">
      <c r="A274" s="2">
        <v>0.437846874</v>
      </c>
      <c r="B274">
        <v>88000</v>
      </c>
      <c r="D274">
        <f t="shared" ref="D274:E274" si="121">A270</f>
        <v>0.42968496299999998</v>
      </c>
      <c r="E274">
        <f t="shared" si="121"/>
        <v>64000</v>
      </c>
      <c r="J274" s="2" t="s">
        <v>211</v>
      </c>
      <c r="K274">
        <v>53000</v>
      </c>
      <c r="L274">
        <v>5.2678560999999999E-2</v>
      </c>
    </row>
    <row r="275" spans="1:12" x14ac:dyDescent="0.3">
      <c r="A275" s="2">
        <v>0.441355573</v>
      </c>
      <c r="B275">
        <v>80000</v>
      </c>
      <c r="D275">
        <f t="shared" ref="D275:E275" si="122">A271</f>
        <v>0.43053676099999999</v>
      </c>
      <c r="E275">
        <f t="shared" si="122"/>
        <v>62000</v>
      </c>
      <c r="J275" s="2" t="s">
        <v>93</v>
      </c>
      <c r="K275">
        <v>70000</v>
      </c>
      <c r="L275">
        <v>5.8821008000000001E-2</v>
      </c>
    </row>
    <row r="276" spans="1:12" x14ac:dyDescent="0.3">
      <c r="A276" s="2">
        <v>0.44458228500000002</v>
      </c>
      <c r="B276">
        <v>45000</v>
      </c>
      <c r="D276">
        <f t="shared" ref="D276:E276" si="123">A272</f>
        <v>0.43429844099999998</v>
      </c>
      <c r="E276">
        <f t="shared" si="123"/>
        <v>60000</v>
      </c>
      <c r="J276" s="2" t="s">
        <v>99</v>
      </c>
      <c r="K276">
        <v>63000</v>
      </c>
      <c r="L276">
        <v>6.0196820999999998E-2</v>
      </c>
    </row>
    <row r="277" spans="1:12" x14ac:dyDescent="0.3">
      <c r="A277" s="2">
        <v>0.44809867799999997</v>
      </c>
      <c r="B277">
        <v>70000</v>
      </c>
      <c r="D277">
        <f t="shared" ref="D277:E277" si="124">A273</f>
        <v>0.43630163300000002</v>
      </c>
      <c r="E277">
        <f t="shared" si="124"/>
        <v>62000</v>
      </c>
      <c r="J277" s="2" t="s">
        <v>186</v>
      </c>
      <c r="K277">
        <v>45000</v>
      </c>
      <c r="L277">
        <v>0.156147487</v>
      </c>
    </row>
    <row r="278" spans="1:12" x14ac:dyDescent="0.3">
      <c r="A278" s="2">
        <v>0.448732309</v>
      </c>
      <c r="B278">
        <v>58000</v>
      </c>
      <c r="D278">
        <f t="shared" ref="D278:E278" si="125">A274</f>
        <v>0.437846874</v>
      </c>
      <c r="E278">
        <f t="shared" si="125"/>
        <v>88000</v>
      </c>
      <c r="J278" s="2" t="s">
        <v>197</v>
      </c>
      <c r="K278">
        <v>45000</v>
      </c>
      <c r="L278">
        <v>5.3572714E-2</v>
      </c>
    </row>
    <row r="279" spans="1:12" x14ac:dyDescent="0.3">
      <c r="A279" s="2">
        <v>0.45146488600000001</v>
      </c>
      <c r="B279">
        <v>106000</v>
      </c>
      <c r="D279">
        <f t="shared" ref="D279:E279" si="126">A275</f>
        <v>0.441355573</v>
      </c>
      <c r="E279">
        <f t="shared" si="126"/>
        <v>80000</v>
      </c>
      <c r="J279" s="2" t="s">
        <v>159</v>
      </c>
      <c r="K279">
        <v>45000</v>
      </c>
      <c r="L279">
        <v>8.2009364000000001E-2</v>
      </c>
    </row>
    <row r="280" spans="1:12" x14ac:dyDescent="0.3">
      <c r="A280" s="2">
        <v>0.47019686500000002</v>
      </c>
      <c r="B280">
        <v>65000</v>
      </c>
      <c r="D280">
        <f t="shared" ref="D280:E280" si="127">A276</f>
        <v>0.44458228500000002</v>
      </c>
      <c r="E280">
        <f t="shared" si="127"/>
        <v>45000</v>
      </c>
      <c r="J280" s="2" t="s">
        <v>173</v>
      </c>
      <c r="K280">
        <v>52000</v>
      </c>
      <c r="L280">
        <v>5.4398770999999999E-2</v>
      </c>
    </row>
    <row r="281" spans="1:12" x14ac:dyDescent="0.3">
      <c r="A281" s="2">
        <v>0.47318952399999997</v>
      </c>
      <c r="B281">
        <v>54000</v>
      </c>
      <c r="D281">
        <f t="shared" ref="D281:E281" si="128">A277</f>
        <v>0.44809867799999997</v>
      </c>
      <c r="E281">
        <f t="shared" si="128"/>
        <v>70000</v>
      </c>
      <c r="J281" s="2" t="s">
        <v>115</v>
      </c>
      <c r="K281">
        <v>45000</v>
      </c>
      <c r="L281">
        <v>6.0537075000000003E-2</v>
      </c>
    </row>
    <row r="282" spans="1:12" x14ac:dyDescent="0.3">
      <c r="A282" s="2">
        <v>0.47501047000000002</v>
      </c>
      <c r="B282">
        <v>35000</v>
      </c>
      <c r="D282">
        <f t="shared" ref="D282:E282" si="129">A278</f>
        <v>0.448732309</v>
      </c>
      <c r="E282">
        <f t="shared" si="129"/>
        <v>58000</v>
      </c>
      <c r="J282" s="2" t="s">
        <v>128</v>
      </c>
      <c r="K282">
        <v>43000</v>
      </c>
      <c r="L282">
        <v>7.7268967999999993E-2</v>
      </c>
    </row>
    <row r="283" spans="1:12" x14ac:dyDescent="0.3">
      <c r="A283" s="2">
        <v>0.47646118300000001</v>
      </c>
      <c r="B283">
        <v>56000</v>
      </c>
      <c r="D283">
        <f t="shared" ref="D283:E283" si="130">A279</f>
        <v>0.45146488600000001</v>
      </c>
      <c r="E283">
        <f t="shared" si="130"/>
        <v>106000</v>
      </c>
      <c r="J283" s="2" t="s">
        <v>180</v>
      </c>
      <c r="K283">
        <v>45000</v>
      </c>
      <c r="L283">
        <v>5.4719192999999999E-2</v>
      </c>
    </row>
    <row r="284" spans="1:12" x14ac:dyDescent="0.3">
      <c r="A284" s="2">
        <v>0.48592987700000001</v>
      </c>
      <c r="B284">
        <v>58000</v>
      </c>
      <c r="D284">
        <f t="shared" ref="D284:E284" si="131">A280</f>
        <v>0.47019686500000002</v>
      </c>
      <c r="E284">
        <f t="shared" si="131"/>
        <v>65000</v>
      </c>
      <c r="J284" s="2" t="s">
        <v>37</v>
      </c>
      <c r="K284">
        <v>52000</v>
      </c>
      <c r="L284">
        <v>5.4341278999999999E-2</v>
      </c>
    </row>
    <row r="285" spans="1:12" x14ac:dyDescent="0.3">
      <c r="A285" s="2">
        <v>0.49539715299999998</v>
      </c>
      <c r="B285">
        <v>43000</v>
      </c>
      <c r="D285">
        <f t="shared" ref="D285:E285" si="132">A281</f>
        <v>0.47318952399999997</v>
      </c>
      <c r="E285">
        <f t="shared" si="132"/>
        <v>54000</v>
      </c>
      <c r="J285" s="2" t="s">
        <v>122</v>
      </c>
      <c r="K285">
        <v>35000</v>
      </c>
      <c r="L285">
        <v>6.8897637999999997E-2</v>
      </c>
    </row>
    <row r="286" spans="1:12" x14ac:dyDescent="0.3">
      <c r="A286" s="2">
        <v>0.50284631499999999</v>
      </c>
      <c r="B286">
        <v>50000</v>
      </c>
      <c r="D286">
        <f t="shared" ref="D286:E286" si="133">A282</f>
        <v>0.47501047000000002</v>
      </c>
      <c r="E286">
        <f t="shared" si="133"/>
        <v>35000</v>
      </c>
      <c r="J286" s="2" t="s">
        <v>91</v>
      </c>
      <c r="K286">
        <v>95000</v>
      </c>
      <c r="L286">
        <v>6.7159423999999995E-2</v>
      </c>
    </row>
    <row r="287" spans="1:12" x14ac:dyDescent="0.3">
      <c r="A287" s="2">
        <v>0.50514053800000003</v>
      </c>
      <c r="B287">
        <v>59000</v>
      </c>
      <c r="D287">
        <f t="shared" ref="D287:E287" si="134">A283</f>
        <v>0.47646118300000001</v>
      </c>
      <c r="E287">
        <f t="shared" si="134"/>
        <v>56000</v>
      </c>
      <c r="J287" s="2" t="s">
        <v>151</v>
      </c>
      <c r="K287">
        <v>62000</v>
      </c>
      <c r="L287">
        <v>6.9857949000000003E-2</v>
      </c>
    </row>
    <row r="288" spans="1:12" x14ac:dyDescent="0.3">
      <c r="A288" s="2">
        <v>0.50672076300000002</v>
      </c>
      <c r="B288">
        <v>48400</v>
      </c>
      <c r="D288">
        <f t="shared" ref="D288:E288" si="135">A284</f>
        <v>0.48592987700000001</v>
      </c>
      <c r="E288">
        <f t="shared" si="135"/>
        <v>58000</v>
      </c>
      <c r="J288" s="2" t="s">
        <v>131</v>
      </c>
      <c r="K288">
        <v>49500</v>
      </c>
      <c r="L288">
        <v>6.3216549999999996E-2</v>
      </c>
    </row>
    <row r="289" spans="1:12" x14ac:dyDescent="0.3">
      <c r="A289" s="2">
        <v>0.50737696799999998</v>
      </c>
      <c r="B289">
        <v>45000</v>
      </c>
      <c r="D289">
        <f t="shared" ref="D289:E289" si="136">A285</f>
        <v>0.49539715299999998</v>
      </c>
      <c r="E289">
        <f t="shared" si="136"/>
        <v>43000</v>
      </c>
      <c r="J289" s="2" t="s">
        <v>147</v>
      </c>
      <c r="K289">
        <v>55000</v>
      </c>
      <c r="L289">
        <v>5.3895090999999999E-2</v>
      </c>
    </row>
    <row r="290" spans="1:12" x14ac:dyDescent="0.3">
      <c r="A290" s="2">
        <v>0.51540644899999999</v>
      </c>
      <c r="B290">
        <v>53000</v>
      </c>
      <c r="D290">
        <f t="shared" ref="D290:E290" si="137">A286</f>
        <v>0.50284631499999999</v>
      </c>
      <c r="E290">
        <f t="shared" si="137"/>
        <v>50000</v>
      </c>
      <c r="J290" s="2" t="s">
        <v>102</v>
      </c>
      <c r="K290">
        <v>45000</v>
      </c>
      <c r="L290">
        <v>7.2373874000000005E-2</v>
      </c>
    </row>
    <row r="291" spans="1:12" x14ac:dyDescent="0.3">
      <c r="A291" s="2">
        <v>0.51554332899999999</v>
      </c>
      <c r="B291">
        <v>50000</v>
      </c>
      <c r="D291">
        <f t="shared" ref="D291:E291" si="138">A287</f>
        <v>0.50514053800000003</v>
      </c>
      <c r="E291">
        <f t="shared" si="138"/>
        <v>59000</v>
      </c>
      <c r="J291" s="2" t="s">
        <v>138</v>
      </c>
      <c r="K291">
        <v>45000</v>
      </c>
      <c r="L291">
        <v>7.5020334999999994E-2</v>
      </c>
    </row>
    <row r="292" spans="1:12" x14ac:dyDescent="0.3">
      <c r="A292" s="2">
        <v>0.52415258300000001</v>
      </c>
      <c r="B292">
        <v>60000</v>
      </c>
      <c r="D292">
        <f t="shared" ref="D292:E292" si="139">A288</f>
        <v>0.50672076300000002</v>
      </c>
      <c r="E292">
        <f t="shared" si="139"/>
        <v>48400</v>
      </c>
      <c r="J292" s="2" t="s">
        <v>148</v>
      </c>
      <c r="K292">
        <v>70000</v>
      </c>
      <c r="L292">
        <v>5.2090055000000003E-2</v>
      </c>
    </row>
    <row r="293" spans="1:12" x14ac:dyDescent="0.3">
      <c r="A293" s="2">
        <v>0.52647576399999996</v>
      </c>
      <c r="B293">
        <v>68000</v>
      </c>
      <c r="D293">
        <f t="shared" ref="D293:E293" si="140">A289</f>
        <v>0.50737696799999998</v>
      </c>
      <c r="E293">
        <f t="shared" si="140"/>
        <v>45000</v>
      </c>
      <c r="J293" s="2" t="s">
        <v>120</v>
      </c>
      <c r="K293">
        <v>50000</v>
      </c>
      <c r="L293">
        <v>5.1139455E-2</v>
      </c>
    </row>
    <row r="294" spans="1:12" x14ac:dyDescent="0.3">
      <c r="A294" s="2">
        <v>0.52896915</v>
      </c>
      <c r="B294">
        <v>50000</v>
      </c>
      <c r="D294">
        <f t="shared" ref="D294:E294" si="141">A290</f>
        <v>0.51540644899999999</v>
      </c>
      <c r="E294">
        <f t="shared" si="141"/>
        <v>53000</v>
      </c>
      <c r="J294" s="2" t="s">
        <v>171</v>
      </c>
      <c r="K294">
        <v>58000</v>
      </c>
      <c r="L294">
        <v>6.9373854999999998E-2</v>
      </c>
    </row>
    <row r="295" spans="1:12" x14ac:dyDescent="0.3">
      <c r="A295" s="2">
        <v>0.53233378799999997</v>
      </c>
      <c r="B295">
        <v>47000</v>
      </c>
      <c r="D295">
        <f t="shared" ref="D295:E295" si="142">A291</f>
        <v>0.51554332899999999</v>
      </c>
      <c r="E295">
        <f t="shared" si="142"/>
        <v>50000</v>
      </c>
      <c r="J295" s="2" t="s">
        <v>106</v>
      </c>
      <c r="K295">
        <v>48000</v>
      </c>
      <c r="L295">
        <v>6.9847803999999999E-2</v>
      </c>
    </row>
    <row r="296" spans="1:12" x14ac:dyDescent="0.3">
      <c r="A296" s="2">
        <v>0.53571428600000004</v>
      </c>
      <c r="B296">
        <v>72000</v>
      </c>
      <c r="D296">
        <f t="shared" ref="D296:E296" si="143">A292</f>
        <v>0.52415258300000001</v>
      </c>
      <c r="E296">
        <f t="shared" si="143"/>
        <v>60000</v>
      </c>
      <c r="J296" s="2" t="s">
        <v>152</v>
      </c>
      <c r="K296">
        <v>45000</v>
      </c>
      <c r="L296">
        <v>6.9666584000000004E-2</v>
      </c>
    </row>
    <row r="297" spans="1:12" x14ac:dyDescent="0.3">
      <c r="A297" s="2">
        <v>0.54340542199999997</v>
      </c>
      <c r="B297">
        <v>52000</v>
      </c>
      <c r="D297">
        <f t="shared" ref="D297:E297" si="144">A293</f>
        <v>0.52647576399999996</v>
      </c>
      <c r="E297">
        <f t="shared" si="144"/>
        <v>68000</v>
      </c>
      <c r="J297" s="2" t="s">
        <v>161</v>
      </c>
      <c r="K297">
        <v>56000</v>
      </c>
      <c r="L297">
        <v>6.9654917999999996E-2</v>
      </c>
    </row>
    <row r="298" spans="1:12" x14ac:dyDescent="0.3">
      <c r="A298" s="2">
        <v>0.55660377400000005</v>
      </c>
      <c r="B298">
        <v>50000</v>
      </c>
      <c r="D298">
        <f t="shared" ref="D298:E298" si="145">A294</f>
        <v>0.52896915</v>
      </c>
      <c r="E298">
        <f t="shared" si="145"/>
        <v>50000</v>
      </c>
      <c r="J298" s="2" t="s">
        <v>162</v>
      </c>
      <c r="K298">
        <v>60000</v>
      </c>
      <c r="L298">
        <v>7.9216916999999998E-2</v>
      </c>
    </row>
    <row r="299" spans="1:12" x14ac:dyDescent="0.3">
      <c r="A299" s="2">
        <v>0.55854800900000001</v>
      </c>
      <c r="B299">
        <v>70000</v>
      </c>
      <c r="D299">
        <f t="shared" ref="D299:E299" si="146">A295</f>
        <v>0.53233378799999997</v>
      </c>
      <c r="E299">
        <f t="shared" si="146"/>
        <v>47000</v>
      </c>
      <c r="J299" s="2" t="s">
        <v>60</v>
      </c>
      <c r="K299">
        <v>41000</v>
      </c>
      <c r="L299">
        <v>0.101745936</v>
      </c>
    </row>
    <row r="300" spans="1:12" x14ac:dyDescent="0.3">
      <c r="A300" s="2">
        <v>0.56463933499999996</v>
      </c>
      <c r="B300">
        <v>52000</v>
      </c>
      <c r="D300">
        <f t="shared" ref="D300:E300" si="147">A296</f>
        <v>0.53571428600000004</v>
      </c>
      <c r="E300">
        <f t="shared" si="147"/>
        <v>72000</v>
      </c>
      <c r="J300" s="2" t="s">
        <v>158</v>
      </c>
      <c r="K300">
        <v>47000</v>
      </c>
      <c r="L300">
        <v>8.7336245000000007E-2</v>
      </c>
    </row>
    <row r="301" spans="1:12" x14ac:dyDescent="0.3">
      <c r="A301" s="2">
        <v>0.56486557000000004</v>
      </c>
      <c r="B301">
        <v>41000</v>
      </c>
      <c r="D301">
        <f t="shared" ref="D301:E301" si="148">A297</f>
        <v>0.54340542199999997</v>
      </c>
      <c r="E301">
        <f t="shared" si="148"/>
        <v>52000</v>
      </c>
      <c r="J301" s="2" t="s">
        <v>164</v>
      </c>
      <c r="K301">
        <v>40000</v>
      </c>
      <c r="L301">
        <v>5.9375901000000002E-2</v>
      </c>
    </row>
    <row r="302" spans="1:12" x14ac:dyDescent="0.3">
      <c r="A302" s="2">
        <v>0.56664050200000005</v>
      </c>
      <c r="B302">
        <v>52000</v>
      </c>
      <c r="D302">
        <f t="shared" ref="D302:E302" si="149">A298</f>
        <v>0.55660377400000005</v>
      </c>
      <c r="E302">
        <f t="shared" si="149"/>
        <v>50000</v>
      </c>
      <c r="J302" s="2" t="s">
        <v>172</v>
      </c>
      <c r="K302">
        <v>47000</v>
      </c>
      <c r="L302">
        <v>6.5804303999999994E-2</v>
      </c>
    </row>
    <row r="303" spans="1:12" x14ac:dyDescent="0.3">
      <c r="A303" s="2">
        <v>0.57636006100000003</v>
      </c>
      <c r="B303">
        <v>42000</v>
      </c>
      <c r="D303">
        <f t="shared" ref="D303:E303" si="150">A299</f>
        <v>0.55854800900000001</v>
      </c>
      <c r="E303">
        <f t="shared" si="150"/>
        <v>70000</v>
      </c>
      <c r="J303" s="2" t="s">
        <v>32</v>
      </c>
      <c r="K303">
        <v>63000</v>
      </c>
      <c r="L303">
        <v>5.0867052000000003E-2</v>
      </c>
    </row>
    <row r="304" spans="1:12" x14ac:dyDescent="0.3">
      <c r="A304" s="2">
        <v>0.57876633799999999</v>
      </c>
      <c r="B304">
        <v>78000</v>
      </c>
      <c r="D304">
        <f t="shared" ref="D304:E304" si="151">A300</f>
        <v>0.56463933499999996</v>
      </c>
      <c r="E304">
        <f t="shared" si="151"/>
        <v>52000</v>
      </c>
      <c r="J304" s="2" t="s">
        <v>126</v>
      </c>
      <c r="K304">
        <v>70000</v>
      </c>
      <c r="L304">
        <v>5.7054045999999997E-2</v>
      </c>
    </row>
    <row r="305" spans="1:12" x14ac:dyDescent="0.3">
      <c r="A305" s="2">
        <v>0.58094800400000002</v>
      </c>
      <c r="B305">
        <v>58000</v>
      </c>
      <c r="D305">
        <f t="shared" ref="D305:E305" si="152">A301</f>
        <v>0.56486557000000004</v>
      </c>
      <c r="E305">
        <f t="shared" si="152"/>
        <v>41000</v>
      </c>
      <c r="J305" s="2" t="s">
        <v>185</v>
      </c>
      <c r="K305">
        <v>37600</v>
      </c>
      <c r="L305">
        <v>8.3713827000000005E-2</v>
      </c>
    </row>
    <row r="306" spans="1:12" x14ac:dyDescent="0.3">
      <c r="A306" s="2">
        <v>0.58455613299999998</v>
      </c>
      <c r="B306">
        <v>52000</v>
      </c>
      <c r="D306">
        <f t="shared" ref="D306:E306" si="153">A302</f>
        <v>0.56664050200000005</v>
      </c>
      <c r="E306">
        <f t="shared" si="153"/>
        <v>52000</v>
      </c>
      <c r="J306" s="2" t="s">
        <v>213</v>
      </c>
      <c r="K306">
        <v>50000</v>
      </c>
      <c r="L306">
        <v>7.3499610000000007E-2</v>
      </c>
    </row>
    <row r="307" spans="1:12" x14ac:dyDescent="0.3">
      <c r="A307" s="2">
        <v>0.584776403</v>
      </c>
      <c r="B307">
        <v>37600</v>
      </c>
      <c r="D307">
        <f t="shared" ref="D307:E307" si="154">A303</f>
        <v>0.57636006100000003</v>
      </c>
      <c r="E307">
        <f t="shared" si="154"/>
        <v>42000</v>
      </c>
      <c r="J307" s="2" t="s">
        <v>181</v>
      </c>
      <c r="K307">
        <v>40000</v>
      </c>
      <c r="L307">
        <v>9.4658002000000005E-2</v>
      </c>
    </row>
    <row r="308" spans="1:12" x14ac:dyDescent="0.3">
      <c r="A308" s="2">
        <v>0.58971190200000001</v>
      </c>
      <c r="B308">
        <v>63000</v>
      </c>
      <c r="D308">
        <f t="shared" ref="D308:E308" si="155">A304</f>
        <v>0.57876633799999999</v>
      </c>
      <c r="E308">
        <f t="shared" si="155"/>
        <v>78000</v>
      </c>
      <c r="J308" s="2" t="s">
        <v>215</v>
      </c>
      <c r="K308">
        <v>54481.08108108108</v>
      </c>
      <c r="L308">
        <v>6.7358668369369393E-2</v>
      </c>
    </row>
    <row r="309" spans="1:12" x14ac:dyDescent="0.3">
      <c r="A309" s="2">
        <v>0.59100101100000002</v>
      </c>
      <c r="B309">
        <v>48000</v>
      </c>
      <c r="D309">
        <f t="shared" ref="D309:E309" si="156">A305</f>
        <v>0.58094800400000002</v>
      </c>
      <c r="E309">
        <f t="shared" si="156"/>
        <v>58000</v>
      </c>
    </row>
    <row r="310" spans="1:12" x14ac:dyDescent="0.3">
      <c r="A310" s="2">
        <v>0.59420764999999998</v>
      </c>
      <c r="B310">
        <v>54000</v>
      </c>
      <c r="D310">
        <f t="shared" ref="D310:E310" si="157">A306</f>
        <v>0.58455613299999998</v>
      </c>
      <c r="E310">
        <f t="shared" si="157"/>
        <v>52000</v>
      </c>
    </row>
    <row r="311" spans="1:12" x14ac:dyDescent="0.3">
      <c r="A311" s="2">
        <v>0.60175182500000002</v>
      </c>
      <c r="B311">
        <v>45000</v>
      </c>
      <c r="D311">
        <f t="shared" ref="D311:E311" si="158">A307</f>
        <v>0.584776403</v>
      </c>
      <c r="E311">
        <f t="shared" si="158"/>
        <v>37600</v>
      </c>
    </row>
    <row r="312" spans="1:12" x14ac:dyDescent="0.3">
      <c r="A312" s="2">
        <v>0.60185815200000004</v>
      </c>
      <c r="B312">
        <v>51000</v>
      </c>
      <c r="D312">
        <f t="shared" ref="D312:E312" si="159">A308</f>
        <v>0.58971190200000001</v>
      </c>
      <c r="E312">
        <f t="shared" si="159"/>
        <v>63000</v>
      </c>
    </row>
    <row r="313" spans="1:12" x14ac:dyDescent="0.3">
      <c r="A313" s="2">
        <v>0.606888545</v>
      </c>
      <c r="B313">
        <v>50000</v>
      </c>
      <c r="D313">
        <f t="shared" ref="D313:E313" si="160">A309</f>
        <v>0.59100101100000002</v>
      </c>
      <c r="E313">
        <f t="shared" si="160"/>
        <v>48000</v>
      </c>
    </row>
    <row r="314" spans="1:12" x14ac:dyDescent="0.3">
      <c r="A314" s="2">
        <v>0.61572722700000004</v>
      </c>
      <c r="B314">
        <v>60000</v>
      </c>
      <c r="D314">
        <f t="shared" ref="D314:E314" si="161">A310</f>
        <v>0.59420764999999998</v>
      </c>
      <c r="E314">
        <f t="shared" si="161"/>
        <v>54000</v>
      </c>
    </row>
    <row r="315" spans="1:12" x14ac:dyDescent="0.3">
      <c r="A315" s="2">
        <v>0.61822302799999995</v>
      </c>
      <c r="B315">
        <v>49000</v>
      </c>
      <c r="D315">
        <f t="shared" ref="D315:E315" si="162">A311</f>
        <v>0.60175182500000002</v>
      </c>
      <c r="E315">
        <f t="shared" si="162"/>
        <v>45000</v>
      </c>
    </row>
    <row r="316" spans="1:12" x14ac:dyDescent="0.3">
      <c r="A316" s="2">
        <v>0.62950456399999999</v>
      </c>
      <c r="B316">
        <v>42000</v>
      </c>
      <c r="D316">
        <f t="shared" ref="D316:E316" si="163">A312</f>
        <v>0.60185815200000004</v>
      </c>
      <c r="E316">
        <f t="shared" si="163"/>
        <v>51000</v>
      </c>
    </row>
    <row r="317" spans="1:12" x14ac:dyDescent="0.3">
      <c r="A317" s="2">
        <v>0.63071631800000005</v>
      </c>
      <c r="B317">
        <v>50000</v>
      </c>
      <c r="D317">
        <f t="shared" ref="D317:E317" si="164">A313</f>
        <v>0.606888545</v>
      </c>
      <c r="E317">
        <f t="shared" si="164"/>
        <v>50000</v>
      </c>
    </row>
    <row r="318" spans="1:12" x14ac:dyDescent="0.3">
      <c r="A318" s="2">
        <v>0.632986838</v>
      </c>
      <c r="B318">
        <v>55000</v>
      </c>
      <c r="D318">
        <f t="shared" ref="D318:E318" si="165">A314</f>
        <v>0.61572722700000004</v>
      </c>
      <c r="E318">
        <f t="shared" si="165"/>
        <v>60000</v>
      </c>
    </row>
    <row r="319" spans="1:12" x14ac:dyDescent="0.3">
      <c r="A319" s="2">
        <v>0.63729337600000002</v>
      </c>
      <c r="B319">
        <v>55000</v>
      </c>
      <c r="D319">
        <f t="shared" ref="D319:E319" si="166">A315</f>
        <v>0.61822302799999995</v>
      </c>
      <c r="E319">
        <f t="shared" si="166"/>
        <v>49000</v>
      </c>
    </row>
    <row r="320" spans="1:12" x14ac:dyDescent="0.3">
      <c r="A320" s="2">
        <v>0.63814682</v>
      </c>
      <c r="B320">
        <v>49500</v>
      </c>
      <c r="D320">
        <f t="shared" ref="D320:E320" si="167">A316</f>
        <v>0.62950456399999999</v>
      </c>
      <c r="E320">
        <f t="shared" si="167"/>
        <v>42000</v>
      </c>
    </row>
    <row r="321" spans="1:5" x14ac:dyDescent="0.3">
      <c r="A321" s="2">
        <v>0.64</v>
      </c>
      <c r="B321">
        <v>61000</v>
      </c>
      <c r="D321">
        <f t="shared" ref="D321:E321" si="168">A317</f>
        <v>0.63071631800000005</v>
      </c>
      <c r="E321">
        <f t="shared" si="168"/>
        <v>50000</v>
      </c>
    </row>
    <row r="322" spans="1:5" x14ac:dyDescent="0.3">
      <c r="A322" s="2">
        <v>0.64333112100000001</v>
      </c>
      <c r="B322">
        <v>48000</v>
      </c>
      <c r="D322">
        <f t="shared" ref="D322:E322" si="169">A318</f>
        <v>0.632986838</v>
      </c>
      <c r="E322">
        <f t="shared" si="169"/>
        <v>55000</v>
      </c>
    </row>
    <row r="323" spans="1:5" x14ac:dyDescent="0.3">
      <c r="A323" s="2">
        <v>0.65165990799999995</v>
      </c>
      <c r="B323">
        <v>47500</v>
      </c>
      <c r="D323">
        <f t="shared" ref="D323:E323" si="170">A319</f>
        <v>0.63729337600000002</v>
      </c>
      <c r="E323">
        <f t="shared" si="170"/>
        <v>55000</v>
      </c>
    </row>
    <row r="324" spans="1:5" x14ac:dyDescent="0.3">
      <c r="A324" s="2">
        <v>0.65174129400000003</v>
      </c>
      <c r="B324">
        <v>50000</v>
      </c>
      <c r="D324">
        <f t="shared" ref="D324:E324" si="171">A320</f>
        <v>0.63814682</v>
      </c>
      <c r="E324">
        <f t="shared" si="171"/>
        <v>49500</v>
      </c>
    </row>
    <row r="325" spans="1:5" x14ac:dyDescent="0.3">
      <c r="A325" s="2">
        <v>0.65212981699999995</v>
      </c>
      <c r="B325">
        <v>47000</v>
      </c>
      <c r="D325">
        <f t="shared" ref="D325:E325" si="172">A321</f>
        <v>0.64</v>
      </c>
      <c r="E325">
        <f t="shared" si="172"/>
        <v>61000</v>
      </c>
    </row>
    <row r="326" spans="1:5" x14ac:dyDescent="0.3">
      <c r="A326" s="2">
        <v>0.666119448</v>
      </c>
      <c r="B326">
        <v>40000</v>
      </c>
      <c r="D326">
        <f t="shared" ref="D326:E326" si="173">A322</f>
        <v>0.64333112100000001</v>
      </c>
      <c r="E326">
        <f t="shared" si="173"/>
        <v>48000</v>
      </c>
    </row>
    <row r="327" spans="1:5" x14ac:dyDescent="0.3">
      <c r="A327" s="2">
        <v>0.66703385299999995</v>
      </c>
      <c r="B327">
        <v>45000</v>
      </c>
      <c r="D327">
        <f t="shared" ref="D327:E327" si="174">A323</f>
        <v>0.65165990799999995</v>
      </c>
      <c r="E327">
        <f t="shared" si="174"/>
        <v>47500</v>
      </c>
    </row>
    <row r="328" spans="1:5" x14ac:dyDescent="0.3">
      <c r="A328" s="2">
        <v>0.66999850500000002</v>
      </c>
      <c r="B328">
        <v>56000</v>
      </c>
      <c r="D328">
        <f t="shared" ref="D328:E328" si="175">A324</f>
        <v>0.65174129400000003</v>
      </c>
      <c r="E328">
        <f t="shared" si="175"/>
        <v>50000</v>
      </c>
    </row>
    <row r="329" spans="1:5" x14ac:dyDescent="0.3">
      <c r="A329" s="2">
        <v>0.67216144300000003</v>
      </c>
      <c r="B329">
        <v>54000</v>
      </c>
      <c r="D329">
        <f t="shared" ref="D329:E329" si="176">A325</f>
        <v>0.65212981699999995</v>
      </c>
      <c r="E329">
        <f t="shared" si="176"/>
        <v>47000</v>
      </c>
    </row>
    <row r="330" spans="1:5" x14ac:dyDescent="0.3">
      <c r="A330" s="2">
        <v>0.67314339199999995</v>
      </c>
      <c r="B330">
        <v>50000</v>
      </c>
      <c r="D330">
        <f t="shared" ref="D330:E330" si="177">A326</f>
        <v>0.666119448</v>
      </c>
      <c r="E330">
        <f t="shared" si="177"/>
        <v>40000</v>
      </c>
    </row>
    <row r="331" spans="1:5" x14ac:dyDescent="0.3">
      <c r="A331" s="2">
        <v>0.68394261899999997</v>
      </c>
      <c r="B331">
        <v>44000</v>
      </c>
      <c r="D331">
        <f t="shared" ref="D331:E331" si="178">A327</f>
        <v>0.66703385299999995</v>
      </c>
      <c r="E331">
        <f t="shared" si="178"/>
        <v>45000</v>
      </c>
    </row>
    <row r="332" spans="1:5" x14ac:dyDescent="0.3">
      <c r="A332" s="2">
        <v>0.68602439999999998</v>
      </c>
      <c r="B332">
        <v>42600</v>
      </c>
      <c r="D332">
        <f t="shared" ref="D332:E332" si="179">A328</f>
        <v>0.66999850500000002</v>
      </c>
      <c r="E332">
        <f t="shared" si="179"/>
        <v>56000</v>
      </c>
    </row>
    <row r="333" spans="1:5" x14ac:dyDescent="0.3">
      <c r="A333" s="2">
        <v>0.68699295199999999</v>
      </c>
      <c r="B333">
        <v>47000</v>
      </c>
      <c r="D333">
        <f t="shared" ref="D333:E333" si="180">A329</f>
        <v>0.67216144300000003</v>
      </c>
      <c r="E333">
        <f t="shared" si="180"/>
        <v>54000</v>
      </c>
    </row>
    <row r="334" spans="1:5" x14ac:dyDescent="0.3">
      <c r="A334" s="2">
        <v>0.68899917300000002</v>
      </c>
      <c r="B334">
        <v>55000</v>
      </c>
      <c r="D334">
        <f t="shared" ref="D334:E334" si="181">A330</f>
        <v>0.67314339199999995</v>
      </c>
      <c r="E334">
        <f t="shared" si="181"/>
        <v>50000</v>
      </c>
    </row>
    <row r="335" spans="1:5" x14ac:dyDescent="0.3">
      <c r="A335" s="2">
        <v>0.69011067500000001</v>
      </c>
      <c r="B335">
        <v>45000</v>
      </c>
      <c r="D335">
        <f t="shared" ref="D335:E335" si="182">A331</f>
        <v>0.68394261899999997</v>
      </c>
      <c r="E335">
        <f t="shared" si="182"/>
        <v>44000</v>
      </c>
    </row>
    <row r="336" spans="1:5" x14ac:dyDescent="0.3">
      <c r="A336" s="2">
        <v>0.69036528799999997</v>
      </c>
      <c r="B336">
        <v>58000</v>
      </c>
      <c r="D336">
        <f t="shared" ref="D336:E336" si="183">A332</f>
        <v>0.68602439999999998</v>
      </c>
      <c r="E336">
        <f t="shared" si="183"/>
        <v>42600</v>
      </c>
    </row>
    <row r="337" spans="1:5" x14ac:dyDescent="0.3">
      <c r="A337" s="2">
        <v>0.69738424499999996</v>
      </c>
      <c r="B337">
        <v>40000</v>
      </c>
      <c r="D337">
        <f t="shared" ref="D337:E337" si="184">A333</f>
        <v>0.68699295199999999</v>
      </c>
      <c r="E337">
        <f t="shared" si="184"/>
        <v>47000</v>
      </c>
    </row>
    <row r="338" spans="1:5" x14ac:dyDescent="0.3">
      <c r="A338" s="2">
        <v>0.70089842999999996</v>
      </c>
      <c r="B338">
        <v>50000</v>
      </c>
      <c r="D338">
        <f t="shared" ref="D338:E338" si="185">A334</f>
        <v>0.68899917300000002</v>
      </c>
      <c r="E338">
        <f t="shared" si="185"/>
        <v>55000</v>
      </c>
    </row>
    <row r="339" spans="1:5" x14ac:dyDescent="0.3">
      <c r="A339" s="2">
        <v>0.70202020200000004</v>
      </c>
      <c r="B339">
        <v>45000</v>
      </c>
      <c r="D339">
        <f t="shared" ref="D339:E339" si="186">A335</f>
        <v>0.69011067500000001</v>
      </c>
      <c r="E339">
        <f t="shared" si="186"/>
        <v>45000</v>
      </c>
    </row>
    <row r="340" spans="1:5" x14ac:dyDescent="0.3">
      <c r="A340" s="2">
        <v>0.70713623699999995</v>
      </c>
      <c r="B340">
        <v>42000</v>
      </c>
      <c r="D340">
        <f t="shared" ref="D340:E340" si="187">A336</f>
        <v>0.69036528799999997</v>
      </c>
      <c r="E340">
        <f t="shared" si="187"/>
        <v>58000</v>
      </c>
    </row>
    <row r="341" spans="1:5" x14ac:dyDescent="0.3">
      <c r="A341" s="2">
        <v>0.70771850199999997</v>
      </c>
      <c r="B341">
        <v>65000</v>
      </c>
      <c r="D341">
        <f t="shared" ref="D341:E341" si="188">A337</f>
        <v>0.69738424499999996</v>
      </c>
      <c r="E341">
        <f t="shared" si="188"/>
        <v>40000</v>
      </c>
    </row>
    <row r="342" spans="1:5" x14ac:dyDescent="0.3">
      <c r="A342" s="2">
        <v>0.71836476599999999</v>
      </c>
      <c r="B342">
        <v>50000</v>
      </c>
      <c r="D342">
        <f t="shared" ref="D342:E342" si="189">A338</f>
        <v>0.70089842999999996</v>
      </c>
      <c r="E342">
        <f t="shared" si="189"/>
        <v>50000</v>
      </c>
    </row>
    <row r="343" spans="1:5" x14ac:dyDescent="0.3">
      <c r="A343" s="2">
        <v>0.71985895200000005</v>
      </c>
      <c r="B343">
        <v>50000</v>
      </c>
      <c r="D343">
        <f t="shared" ref="D343:E343" si="190">A339</f>
        <v>0.70202020200000004</v>
      </c>
      <c r="E343">
        <f t="shared" si="190"/>
        <v>45000</v>
      </c>
    </row>
    <row r="344" spans="1:5" x14ac:dyDescent="0.3">
      <c r="A344" s="2">
        <v>0.71997408299999999</v>
      </c>
      <c r="B344">
        <v>52000</v>
      </c>
      <c r="D344">
        <f t="shared" ref="D344:E344" si="191">A340</f>
        <v>0.70713623699999995</v>
      </c>
      <c r="E344">
        <f t="shared" si="191"/>
        <v>42000</v>
      </c>
    </row>
    <row r="345" spans="1:5" x14ac:dyDescent="0.3">
      <c r="A345" s="2">
        <v>0.72186591300000003</v>
      </c>
      <c r="B345">
        <v>45000</v>
      </c>
      <c r="D345">
        <f t="shared" ref="D345:E345" si="192">A341</f>
        <v>0.70771850199999997</v>
      </c>
      <c r="E345">
        <f t="shared" si="192"/>
        <v>65000</v>
      </c>
    </row>
    <row r="346" spans="1:5" x14ac:dyDescent="0.3">
      <c r="A346" s="2">
        <v>0.72803259099999995</v>
      </c>
      <c r="B346">
        <v>48000</v>
      </c>
      <c r="D346">
        <f t="shared" ref="D346:E346" si="193">A342</f>
        <v>0.71836476599999999</v>
      </c>
      <c r="E346">
        <f t="shared" si="193"/>
        <v>50000</v>
      </c>
    </row>
    <row r="347" spans="1:5" x14ac:dyDescent="0.3">
      <c r="A347" s="2">
        <v>0.72849462399999998</v>
      </c>
      <c r="B347">
        <v>40000</v>
      </c>
      <c r="D347">
        <f t="shared" ref="D347:E347" si="194">A343</f>
        <v>0.71985895200000005</v>
      </c>
      <c r="E347">
        <f t="shared" si="194"/>
        <v>50000</v>
      </c>
    </row>
    <row r="348" spans="1:5" x14ac:dyDescent="0.3">
      <c r="A348" s="2">
        <v>0.73396758299999998</v>
      </c>
      <c r="B348">
        <v>45000</v>
      </c>
      <c r="D348">
        <f t="shared" ref="D348:E348" si="195">A344</f>
        <v>0.71997408299999999</v>
      </c>
      <c r="E348">
        <f t="shared" si="195"/>
        <v>52000</v>
      </c>
    </row>
    <row r="349" spans="1:5" x14ac:dyDescent="0.3">
      <c r="A349" s="2">
        <v>0.73399192800000002</v>
      </c>
      <c r="B349">
        <v>49000</v>
      </c>
      <c r="D349">
        <f t="shared" ref="D349:E349" si="196">A345</f>
        <v>0.72186591300000003</v>
      </c>
      <c r="E349">
        <f t="shared" si="196"/>
        <v>45000</v>
      </c>
    </row>
    <row r="350" spans="1:5" x14ac:dyDescent="0.3">
      <c r="A350" s="2">
        <v>0.74566153800000001</v>
      </c>
      <c r="B350">
        <v>46700</v>
      </c>
      <c r="D350">
        <f t="shared" ref="D350:E350" si="197">A346</f>
        <v>0.72803259099999995</v>
      </c>
      <c r="E350">
        <f t="shared" si="197"/>
        <v>48000</v>
      </c>
    </row>
    <row r="351" spans="1:5" x14ac:dyDescent="0.3">
      <c r="A351" s="2">
        <v>0.74756092600000001</v>
      </c>
      <c r="B351">
        <v>47000</v>
      </c>
      <c r="D351">
        <f t="shared" ref="D351:E351" si="198">A347</f>
        <v>0.72849462399999998</v>
      </c>
      <c r="E351">
        <f t="shared" si="198"/>
        <v>40000</v>
      </c>
    </row>
    <row r="352" spans="1:5" x14ac:dyDescent="0.3">
      <c r="A352" s="2">
        <v>0.75047258999999999</v>
      </c>
      <c r="B352">
        <v>70000</v>
      </c>
      <c r="D352">
        <f t="shared" ref="D352:E352" si="199">A348</f>
        <v>0.73396758299999998</v>
      </c>
      <c r="E352">
        <f t="shared" si="199"/>
        <v>45000</v>
      </c>
    </row>
    <row r="353" spans="1:5" x14ac:dyDescent="0.3">
      <c r="A353" s="2">
        <v>0.75214388399999998</v>
      </c>
      <c r="B353">
        <v>40500</v>
      </c>
      <c r="D353">
        <f t="shared" ref="D353:E353" si="200">A349</f>
        <v>0.73399192800000002</v>
      </c>
      <c r="E353">
        <f t="shared" si="200"/>
        <v>49000</v>
      </c>
    </row>
    <row r="354" spans="1:5" x14ac:dyDescent="0.3">
      <c r="A354" s="2">
        <v>0.75392736000000005</v>
      </c>
      <c r="B354">
        <v>70000</v>
      </c>
      <c r="D354">
        <f t="shared" ref="D354:E354" si="201">A350</f>
        <v>0.74566153800000001</v>
      </c>
      <c r="E354">
        <f t="shared" si="201"/>
        <v>46700</v>
      </c>
    </row>
    <row r="355" spans="1:5" x14ac:dyDescent="0.3">
      <c r="A355" s="2">
        <v>0.75806026900000001</v>
      </c>
      <c r="B355">
        <v>46000</v>
      </c>
      <c r="D355">
        <f t="shared" ref="D355:E355" si="202">A351</f>
        <v>0.74756092600000001</v>
      </c>
      <c r="E355">
        <f t="shared" si="202"/>
        <v>47000</v>
      </c>
    </row>
    <row r="356" spans="1:5" x14ac:dyDescent="0.3">
      <c r="A356" s="2">
        <v>0.76432029000000001</v>
      </c>
      <c r="B356">
        <v>48000</v>
      </c>
      <c r="D356">
        <f t="shared" ref="D356:E356" si="203">A352</f>
        <v>0.75047258999999999</v>
      </c>
      <c r="E356">
        <f t="shared" si="203"/>
        <v>70000</v>
      </c>
    </row>
    <row r="357" spans="1:5" x14ac:dyDescent="0.3">
      <c r="A357" s="2">
        <v>0.76442652799999999</v>
      </c>
      <c r="B357">
        <v>63000</v>
      </c>
      <c r="D357">
        <f t="shared" ref="D357:E357" si="204">A353</f>
        <v>0.75214388399999998</v>
      </c>
      <c r="E357">
        <f t="shared" si="204"/>
        <v>40500</v>
      </c>
    </row>
    <row r="358" spans="1:5" x14ac:dyDescent="0.3">
      <c r="A358" s="2">
        <v>0.77090110599999995</v>
      </c>
      <c r="B358">
        <v>50000</v>
      </c>
      <c r="D358">
        <f t="shared" ref="D358:E358" si="205">A354</f>
        <v>0.75392736000000005</v>
      </c>
      <c r="E358">
        <f t="shared" si="205"/>
        <v>70000</v>
      </c>
    </row>
    <row r="359" spans="1:5" x14ac:dyDescent="0.3">
      <c r="A359" s="2">
        <v>0.77457662400000005</v>
      </c>
      <c r="B359">
        <v>50000</v>
      </c>
      <c r="D359">
        <f t="shared" ref="D359:E359" si="206">A355</f>
        <v>0.75806026900000001</v>
      </c>
      <c r="E359">
        <f t="shared" si="206"/>
        <v>46000</v>
      </c>
    </row>
    <row r="360" spans="1:5" x14ac:dyDescent="0.3">
      <c r="A360" s="2">
        <v>0.77993320399999999</v>
      </c>
      <c r="B360">
        <v>45000</v>
      </c>
      <c r="D360">
        <f t="shared" ref="D360:E360" si="207">A356</f>
        <v>0.76432029000000001</v>
      </c>
      <c r="E360">
        <f t="shared" si="207"/>
        <v>48000</v>
      </c>
    </row>
    <row r="361" spans="1:5" x14ac:dyDescent="0.3">
      <c r="A361" s="2">
        <v>0.79209526200000002</v>
      </c>
      <c r="B361">
        <v>43000</v>
      </c>
      <c r="D361">
        <f t="shared" ref="D361:E361" si="208">A357</f>
        <v>0.76442652799999999</v>
      </c>
      <c r="E361">
        <f t="shared" si="208"/>
        <v>63000</v>
      </c>
    </row>
    <row r="362" spans="1:5" x14ac:dyDescent="0.3">
      <c r="A362" s="2">
        <v>0.79874621700000004</v>
      </c>
      <c r="B362">
        <v>39000</v>
      </c>
      <c r="D362">
        <f t="shared" ref="D362:E362" si="209">A358</f>
        <v>0.77090110599999995</v>
      </c>
      <c r="E362">
        <f t="shared" si="209"/>
        <v>50000</v>
      </c>
    </row>
    <row r="363" spans="1:5" x14ac:dyDescent="0.3">
      <c r="A363" s="2">
        <v>0.79891981700000003</v>
      </c>
      <c r="B363">
        <v>40000</v>
      </c>
      <c r="D363">
        <f t="shared" ref="D363:E363" si="210">A359</f>
        <v>0.77457662400000005</v>
      </c>
      <c r="E363">
        <f t="shared" si="210"/>
        <v>50000</v>
      </c>
    </row>
    <row r="364" spans="1:5" x14ac:dyDescent="0.3">
      <c r="A364" s="2">
        <v>0.79985905599999996</v>
      </c>
      <c r="B364">
        <v>45000</v>
      </c>
      <c r="D364">
        <f t="shared" ref="D364:E364" si="211">A360</f>
        <v>0.77993320399999999</v>
      </c>
      <c r="E364">
        <f t="shared" si="211"/>
        <v>45000</v>
      </c>
    </row>
    <row r="365" spans="1:5" x14ac:dyDescent="0.3">
      <c r="A365" s="2">
        <v>0.81070414700000004</v>
      </c>
      <c r="B365">
        <v>40000</v>
      </c>
      <c r="D365">
        <f t="shared" ref="D365:E365" si="212">A361</f>
        <v>0.79209526200000002</v>
      </c>
      <c r="E365">
        <f t="shared" si="212"/>
        <v>43000</v>
      </c>
    </row>
    <row r="366" spans="1:5" x14ac:dyDescent="0.3">
      <c r="A366" s="2">
        <v>0.812876606</v>
      </c>
      <c r="B366">
        <v>43000</v>
      </c>
      <c r="D366">
        <f t="shared" ref="D366:E366" si="213">A362</f>
        <v>0.79874621700000004</v>
      </c>
      <c r="E366">
        <f t="shared" si="213"/>
        <v>39000</v>
      </c>
    </row>
    <row r="367" spans="1:5" x14ac:dyDescent="0.3">
      <c r="A367" s="2">
        <v>0.81709880899999998</v>
      </c>
      <c r="B367">
        <v>40000</v>
      </c>
      <c r="D367">
        <f t="shared" ref="D367:E367" si="214">A363</f>
        <v>0.79891981700000003</v>
      </c>
      <c r="E367">
        <f t="shared" si="214"/>
        <v>40000</v>
      </c>
    </row>
    <row r="368" spans="1:5" x14ac:dyDescent="0.3">
      <c r="A368" s="2">
        <v>0.84593437900000001</v>
      </c>
      <c r="B368">
        <v>44500</v>
      </c>
      <c r="D368">
        <f t="shared" ref="D368:E368" si="215">A364</f>
        <v>0.79985905599999996</v>
      </c>
      <c r="E368">
        <f t="shared" si="215"/>
        <v>45000</v>
      </c>
    </row>
    <row r="369" spans="1:5" x14ac:dyDescent="0.3">
      <c r="A369" s="2">
        <v>0.85452322700000005</v>
      </c>
      <c r="B369">
        <v>53000</v>
      </c>
      <c r="D369">
        <f t="shared" ref="D369:E369" si="216">A365</f>
        <v>0.81070414700000004</v>
      </c>
      <c r="E369">
        <f t="shared" si="216"/>
        <v>40000</v>
      </c>
    </row>
    <row r="370" spans="1:5" x14ac:dyDescent="0.3">
      <c r="A370" s="2">
        <v>0.86445607899999999</v>
      </c>
      <c r="B370">
        <v>50000</v>
      </c>
      <c r="D370">
        <f t="shared" ref="D370:E370" si="217">A366</f>
        <v>0.812876606</v>
      </c>
      <c r="E370">
        <f t="shared" si="217"/>
        <v>43000</v>
      </c>
    </row>
    <row r="371" spans="1:5" x14ac:dyDescent="0.3">
      <c r="A371" s="2">
        <v>0.87722752800000003</v>
      </c>
      <c r="B371">
        <v>48000</v>
      </c>
      <c r="D371">
        <f t="shared" ref="D371:E371" si="218">A367</f>
        <v>0.81709880899999998</v>
      </c>
      <c r="E371">
        <f t="shared" si="218"/>
        <v>40000</v>
      </c>
    </row>
    <row r="372" spans="1:5" x14ac:dyDescent="0.3">
      <c r="A372" s="2">
        <v>0.87795992700000003</v>
      </c>
      <c r="B372">
        <v>40000</v>
      </c>
      <c r="D372">
        <f t="shared" ref="D372:E372" si="219">A368</f>
        <v>0.84593437900000001</v>
      </c>
      <c r="E372">
        <f t="shared" si="219"/>
        <v>44500</v>
      </c>
    </row>
    <row r="373" spans="1:5" x14ac:dyDescent="0.3">
      <c r="A373" s="2">
        <v>0.88129388900000005</v>
      </c>
      <c r="B373">
        <v>57000</v>
      </c>
      <c r="D373">
        <f t="shared" ref="D373:E373" si="220">A369</f>
        <v>0.85452322700000005</v>
      </c>
      <c r="E373">
        <f t="shared" si="220"/>
        <v>53000</v>
      </c>
    </row>
    <row r="374" spans="1:5" x14ac:dyDescent="0.3">
      <c r="A374" s="2">
        <v>0.89601898800000002</v>
      </c>
      <c r="B374">
        <v>62000</v>
      </c>
      <c r="D374">
        <f t="shared" ref="D374:E374" si="221">A370</f>
        <v>0.86445607899999999</v>
      </c>
      <c r="E374">
        <f t="shared" si="221"/>
        <v>50000</v>
      </c>
    </row>
    <row r="375" spans="1:5" x14ac:dyDescent="0.3">
      <c r="A375" s="2">
        <v>0.90407454399999998</v>
      </c>
      <c r="B375">
        <v>38000</v>
      </c>
      <c r="D375">
        <f t="shared" ref="D375:E375" si="222">A371</f>
        <v>0.87722752800000003</v>
      </c>
      <c r="E375">
        <f t="shared" si="222"/>
        <v>48000</v>
      </c>
    </row>
    <row r="376" spans="1:5" x14ac:dyDescent="0.3">
      <c r="A376" s="2">
        <v>0.90558992999999999</v>
      </c>
      <c r="B376">
        <v>45000</v>
      </c>
      <c r="D376">
        <f t="shared" ref="D376:E376" si="223">A372</f>
        <v>0.87795992700000003</v>
      </c>
      <c r="E376">
        <f t="shared" si="223"/>
        <v>40000</v>
      </c>
    </row>
    <row r="377" spans="1:5" x14ac:dyDescent="0.3">
      <c r="A377" s="2">
        <v>0.90667733699999997</v>
      </c>
      <c r="B377">
        <v>50000</v>
      </c>
      <c r="D377">
        <f t="shared" ref="D377:E377" si="224">A373</f>
        <v>0.88129388900000005</v>
      </c>
      <c r="E377">
        <f t="shared" si="224"/>
        <v>57000</v>
      </c>
    </row>
    <row r="378" spans="1:5" x14ac:dyDescent="0.3">
      <c r="A378" s="2">
        <v>0.91093257000000005</v>
      </c>
      <c r="B378">
        <v>46000</v>
      </c>
      <c r="D378">
        <f t="shared" ref="D378:E378" si="225">A374</f>
        <v>0.89601898800000002</v>
      </c>
      <c r="E378">
        <f t="shared" si="225"/>
        <v>62000</v>
      </c>
    </row>
    <row r="379" spans="1:5" x14ac:dyDescent="0.3">
      <c r="A379" s="2">
        <v>0.92374547900000004</v>
      </c>
      <c r="B379">
        <v>40000</v>
      </c>
      <c r="D379">
        <f t="shared" ref="D379:E379" si="226">A375</f>
        <v>0.90407454399999998</v>
      </c>
      <c r="E379">
        <f t="shared" si="226"/>
        <v>38000</v>
      </c>
    </row>
    <row r="380" spans="1:5" x14ac:dyDescent="0.3">
      <c r="A380" s="2">
        <v>0.92780724599999997</v>
      </c>
      <c r="B380">
        <v>92000</v>
      </c>
      <c r="D380">
        <f t="shared" ref="D380:E380" si="227">A376</f>
        <v>0.90558992999999999</v>
      </c>
      <c r="E380">
        <f t="shared" si="227"/>
        <v>45000</v>
      </c>
    </row>
    <row r="381" spans="1:5" x14ac:dyDescent="0.3">
      <c r="A381" s="2">
        <v>0.96799811899999999</v>
      </c>
      <c r="B381">
        <v>35300</v>
      </c>
      <c r="D381">
        <f t="shared" ref="D381:E381" si="228">A377</f>
        <v>0.90667733699999997</v>
      </c>
      <c r="E381">
        <f t="shared" si="228"/>
        <v>50000</v>
      </c>
    </row>
    <row r="382" spans="1:5" x14ac:dyDescent="0.3">
      <c r="A382" s="2">
        <v>0.96895368299999995</v>
      </c>
      <c r="B382">
        <v>43000</v>
      </c>
      <c r="D382">
        <f t="shared" ref="D382:E382" si="229">A378</f>
        <v>0.91093257000000005</v>
      </c>
      <c r="E382">
        <f t="shared" si="229"/>
        <v>46000</v>
      </c>
    </row>
    <row r="383" spans="1:5" x14ac:dyDescent="0.3">
      <c r="A383" s="2" t="s">
        <v>215</v>
      </c>
      <c r="B383">
        <v>56816.184971098264</v>
      </c>
      <c r="D383">
        <f t="shared" ref="D383:E383" si="230">A379</f>
        <v>0.92374547900000004</v>
      </c>
      <c r="E383">
        <f t="shared" si="230"/>
        <v>40000</v>
      </c>
    </row>
    <row r="384" spans="1:5" x14ac:dyDescent="0.3">
      <c r="D384">
        <f t="shared" ref="D384:E384" si="231">A380</f>
        <v>0.92780724599999997</v>
      </c>
      <c r="E384">
        <f t="shared" si="231"/>
        <v>92000</v>
      </c>
    </row>
    <row r="385" spans="4:5" x14ac:dyDescent="0.3">
      <c r="D385">
        <f t="shared" ref="D385:E385" si="232">A381</f>
        <v>0.96799811899999999</v>
      </c>
      <c r="E385">
        <f t="shared" si="232"/>
        <v>35300</v>
      </c>
    </row>
    <row r="386" spans="4:5" x14ac:dyDescent="0.3">
      <c r="D386">
        <f t="shared" ref="D386:E386" si="233">A382</f>
        <v>0.96895368299999995</v>
      </c>
      <c r="E386">
        <f t="shared" si="233"/>
        <v>43000</v>
      </c>
    </row>
    <row r="387" spans="4:5" x14ac:dyDescent="0.3">
      <c r="D387" t="str">
        <f t="shared" ref="D387:E387" si="234">A383</f>
        <v>Grand Total</v>
      </c>
      <c r="E387">
        <f t="shared" si="234"/>
        <v>56816.184971098264</v>
      </c>
    </row>
  </sheetData>
  <conditionalFormatting sqref="J196:L196 J197:J308">
    <cfRule type="colorScale" priority="2">
      <colorScale>
        <cfvo type="min"/>
        <cfvo type="percentile" val="50"/>
        <cfvo type="max"/>
        <color rgb="FFF8696B"/>
        <color rgb="FFFFEB84"/>
        <color rgb="FF63BE7B"/>
      </colorScale>
    </cfRule>
  </conditionalFormatting>
  <conditionalFormatting sqref="L196">
    <cfRule type="colorScale" priority="1">
      <colorScale>
        <cfvo type="min"/>
        <cfvo type="max"/>
        <color rgb="FFFF0000"/>
        <color rgb="FFFFEF9C"/>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C7F81-7549-42F4-920D-C9B41522A3A5}">
  <dimension ref="A1:X7"/>
  <sheetViews>
    <sheetView tabSelected="1" zoomScale="55" zoomScaleNormal="55" workbookViewId="0">
      <selection activeCell="Z22" sqref="Z22"/>
    </sheetView>
  </sheetViews>
  <sheetFormatPr defaultRowHeight="14.4" x14ac:dyDescent="0.3"/>
  <cols>
    <col min="8" max="8" width="8.33203125" customWidth="1"/>
    <col min="10" max="10" width="10.44140625" customWidth="1"/>
    <col min="14" max="14" width="7.77734375" customWidth="1"/>
    <col min="16" max="16" width="10.88671875" customWidth="1"/>
  </cols>
  <sheetData>
    <row r="1" spans="1:24" x14ac:dyDescent="0.3">
      <c r="A1" s="8" t="s">
        <v>232</v>
      </c>
      <c r="B1" s="8"/>
      <c r="C1" s="8"/>
      <c r="D1" s="8"/>
      <c r="E1" s="8"/>
      <c r="F1" s="8"/>
      <c r="G1" s="8"/>
      <c r="H1" s="8"/>
      <c r="I1" s="8"/>
      <c r="J1" s="8"/>
      <c r="K1" s="8"/>
      <c r="L1" s="8"/>
      <c r="M1" s="8"/>
      <c r="N1" s="8"/>
      <c r="O1" s="8"/>
      <c r="P1" s="8"/>
      <c r="Q1" s="8"/>
      <c r="R1" s="8"/>
      <c r="S1" s="8"/>
      <c r="T1" s="8"/>
      <c r="U1" s="8"/>
      <c r="V1" s="8"/>
      <c r="W1" s="8"/>
      <c r="X1" s="8"/>
    </row>
    <row r="2" spans="1:24" x14ac:dyDescent="0.3">
      <c r="A2" s="8"/>
      <c r="B2" s="8"/>
      <c r="C2" s="8"/>
      <c r="D2" s="8"/>
      <c r="E2" s="8"/>
      <c r="F2" s="8"/>
      <c r="G2" s="8"/>
      <c r="H2" s="8"/>
      <c r="I2" s="8"/>
      <c r="J2" s="8"/>
      <c r="K2" s="8"/>
      <c r="L2" s="8"/>
      <c r="M2" s="8"/>
      <c r="N2" s="8"/>
      <c r="O2" s="8"/>
      <c r="P2" s="8"/>
      <c r="Q2" s="8"/>
      <c r="R2" s="8"/>
      <c r="S2" s="8"/>
      <c r="T2" s="8"/>
      <c r="U2" s="8"/>
      <c r="V2" s="8"/>
      <c r="W2" s="8"/>
      <c r="X2" s="8"/>
    </row>
    <row r="3" spans="1:24" x14ac:dyDescent="0.3">
      <c r="A3" s="8"/>
      <c r="B3" s="8"/>
      <c r="C3" s="8"/>
      <c r="D3" s="8"/>
      <c r="E3" s="8"/>
      <c r="F3" s="8"/>
      <c r="G3" s="8"/>
      <c r="H3" s="8"/>
      <c r="I3" s="8"/>
      <c r="J3" s="8"/>
      <c r="K3" s="8"/>
      <c r="L3" s="8"/>
      <c r="M3" s="8"/>
      <c r="N3" s="8"/>
      <c r="O3" s="8"/>
      <c r="P3" s="8"/>
      <c r="Q3" s="8"/>
      <c r="R3" s="8"/>
      <c r="S3" s="8"/>
      <c r="T3" s="8"/>
      <c r="U3" s="8"/>
      <c r="V3" s="8"/>
      <c r="W3" s="8"/>
      <c r="X3" s="8"/>
    </row>
    <row r="5" spans="1:24" x14ac:dyDescent="0.3">
      <c r="C5" s="3">
        <f>AVERAGE('college_majors_merged'!I:I)</f>
        <v>56816.184971098264</v>
      </c>
      <c r="D5" s="3"/>
      <c r="I5" s="6">
        <f>AVERAGE('college_majors_merged'!H:H)</f>
        <v>5.7355453283237018E-2</v>
      </c>
      <c r="J5" s="6"/>
      <c r="O5" s="3">
        <f>AVERAGE('college_majors_merged'!U:U)</f>
        <v>18171.965317919075</v>
      </c>
      <c r="P5" s="3"/>
      <c r="U5" s="6">
        <f>AVERAGE('college_majors_merged'!M:M)</f>
        <v>0.75118741963498714</v>
      </c>
      <c r="V5" s="6"/>
    </row>
    <row r="6" spans="1:24" x14ac:dyDescent="0.3">
      <c r="C6" s="3"/>
      <c r="D6" s="3"/>
      <c r="I6" s="6"/>
      <c r="J6" s="6"/>
      <c r="O6" s="3"/>
      <c r="P6" s="3"/>
      <c r="U6" s="6"/>
      <c r="V6" s="6"/>
    </row>
    <row r="7" spans="1:24" ht="15.6" x14ac:dyDescent="0.4">
      <c r="C7" s="4" t="s">
        <v>233</v>
      </c>
      <c r="D7" s="5"/>
      <c r="I7" s="4" t="s">
        <v>234</v>
      </c>
      <c r="J7" s="5"/>
      <c r="O7" s="4" t="s">
        <v>235</v>
      </c>
      <c r="P7" s="7"/>
      <c r="U7" s="4" t="s">
        <v>236</v>
      </c>
      <c r="V7" s="7"/>
    </row>
  </sheetData>
  <mergeCells count="9">
    <mergeCell ref="A1:X3"/>
    <mergeCell ref="U5:V6"/>
    <mergeCell ref="U7:V7"/>
    <mergeCell ref="C5:D6"/>
    <mergeCell ref="C7:D7"/>
    <mergeCell ref="I5:J6"/>
    <mergeCell ref="I7:J7"/>
    <mergeCell ref="O5:P6"/>
    <mergeCell ref="O7:P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819844-EB9B-444C-9321-42847F1832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college_majors_merged</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2025-12-28T18:23:07Z</dcterms:created>
  <dcterms:modified xsi:type="dcterms:W3CDTF">2025-12-29T06:18:37Z</dcterms:modified>
</cp:coreProperties>
</file>